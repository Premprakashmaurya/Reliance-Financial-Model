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Financial Model\"/>
    </mc:Choice>
  </mc:AlternateContent>
  <xr:revisionPtr revIDLastSave="0" documentId="13_ncr:1_{CB4C7F17-C96E-4C2F-88E5-D5CEE44372F4}" xr6:coauthVersionLast="47" xr6:coauthVersionMax="47" xr10:uidLastSave="{00000000-0000-0000-0000-000000000000}"/>
  <bookViews>
    <workbookView xWindow="-108" yWindow="-108" windowWidth="23256" windowHeight="12456" tabRatio="753" firstSheet="1" activeTab="5" xr2:uid="{00000000-000D-0000-FFFF-FFFF00000000}"/>
  </bookViews>
  <sheets>
    <sheet name="FINANCIAL" sheetId="7" r:id="rId1"/>
    <sheet name="HISTORICAL FC" sheetId="8" r:id="rId2"/>
    <sheet name="FORECASTING" sheetId="12" r:id="rId3"/>
    <sheet name="RATIO ANALYSIS" sheetId="11" r:id="rId4"/>
    <sheet name="CFS" sheetId="9" r:id="rId5"/>
    <sheet name="DATA" sheetId="10" r:id="rId6"/>
    <sheet name="Profit &amp; Loss" sheetId="1" r:id="rId7"/>
    <sheet name="Quarters" sheetId="3" r:id="rId8"/>
    <sheet name="Balance Sheet" sheetId="2" r:id="rId9"/>
    <sheet name="Cash Flow" sheetId="4" r:id="rId10"/>
    <sheet name="Customization" sheetId="5" r:id="rId11"/>
    <sheet name="Data Sheet" sheetId="6" r:id="rId12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38" i="10" l="1"/>
  <c r="L32" i="10"/>
  <c r="E32" i="10"/>
  <c r="L39" i="10" s="1"/>
  <c r="C33" i="10"/>
  <c r="D33" i="10" s="1"/>
  <c r="E24" i="10"/>
  <c r="K38" i="10" s="1"/>
  <c r="K16" i="10"/>
  <c r="J17" i="10"/>
  <c r="K17" i="10"/>
  <c r="H17" i="10"/>
  <c r="H16" i="10"/>
  <c r="J11" i="10"/>
  <c r="J12" i="10"/>
  <c r="J13" i="10"/>
  <c r="J14" i="10"/>
  <c r="J10" i="10"/>
  <c r="J16" i="10" s="1"/>
  <c r="I11" i="10"/>
  <c r="L11" i="10" s="1"/>
  <c r="I12" i="10"/>
  <c r="L12" i="10" s="1"/>
  <c r="I13" i="10"/>
  <c r="L13" i="10" s="1"/>
  <c r="I14" i="10"/>
  <c r="L14" i="10" s="1"/>
  <c r="I10" i="10"/>
  <c r="L10" i="10" s="1"/>
  <c r="D31" i="10" l="1"/>
  <c r="D32" i="10"/>
  <c r="I17" i="10"/>
  <c r="E35" i="10"/>
  <c r="L31" i="10" s="1"/>
  <c r="I16" i="10"/>
  <c r="L16" i="10"/>
  <c r="L17" i="10"/>
  <c r="L30" i="10" s="1"/>
  <c r="L33" i="10" s="1"/>
  <c r="L24" i="10" s="1"/>
  <c r="L25" i="10" s="1"/>
  <c r="K39" i="10" s="1"/>
  <c r="L40" i="10" s="1"/>
  <c r="M2" i="12"/>
  <c r="D4" i="12" a="1"/>
  <c r="B2" i="12"/>
  <c r="H2" i="12"/>
  <c r="E6" i="12"/>
  <c r="E7" i="12"/>
  <c r="E8" i="12"/>
  <c r="E9" i="12"/>
  <c r="E10" i="12"/>
  <c r="E11" i="12"/>
  <c r="E12" i="12"/>
  <c r="E13" i="12"/>
  <c r="B2" i="8"/>
  <c r="B2" i="11"/>
  <c r="D40" i="11"/>
  <c r="E40" i="11"/>
  <c r="F40" i="11"/>
  <c r="G40" i="11"/>
  <c r="H40" i="11"/>
  <c r="I40" i="11"/>
  <c r="J40" i="11"/>
  <c r="K40" i="11"/>
  <c r="L40" i="11"/>
  <c r="C40" i="11"/>
  <c r="D38" i="11"/>
  <c r="E38" i="11"/>
  <c r="F38" i="11"/>
  <c r="G38" i="11"/>
  <c r="H38" i="11"/>
  <c r="I38" i="11"/>
  <c r="J38" i="11"/>
  <c r="K38" i="11"/>
  <c r="L38" i="11"/>
  <c r="C38" i="11"/>
  <c r="D28" i="11"/>
  <c r="D34" i="11" s="1"/>
  <c r="E28" i="11"/>
  <c r="E34" i="11" s="1"/>
  <c r="F28" i="11"/>
  <c r="F34" i="11" s="1"/>
  <c r="G28" i="11"/>
  <c r="G34" i="11" s="1"/>
  <c r="H28" i="11"/>
  <c r="H34" i="11" s="1"/>
  <c r="I28" i="11"/>
  <c r="I34" i="11" s="1"/>
  <c r="J28" i="11"/>
  <c r="J34" i="11" s="1"/>
  <c r="K28" i="11"/>
  <c r="K34" i="11" s="1"/>
  <c r="L28" i="11"/>
  <c r="L34" i="11" s="1"/>
  <c r="C28" i="11"/>
  <c r="C34" i="11" s="1"/>
  <c r="L27" i="11"/>
  <c r="L33" i="11" s="1"/>
  <c r="L29" i="11"/>
  <c r="L35" i="11" s="1"/>
  <c r="L30" i="11"/>
  <c r="L31" i="11"/>
  <c r="D27" i="11"/>
  <c r="D33" i="11" s="1"/>
  <c r="E27" i="11"/>
  <c r="E33" i="11" s="1"/>
  <c r="F27" i="11"/>
  <c r="F33" i="11" s="1"/>
  <c r="G27" i="11"/>
  <c r="G33" i="11" s="1"/>
  <c r="H27" i="11"/>
  <c r="H33" i="11" s="1"/>
  <c r="I27" i="11"/>
  <c r="I33" i="11" s="1"/>
  <c r="J27" i="11"/>
  <c r="J33" i="11" s="1"/>
  <c r="K27" i="11"/>
  <c r="K33" i="11" s="1"/>
  <c r="K36" i="11" s="1"/>
  <c r="D29" i="11"/>
  <c r="D35" i="11" s="1"/>
  <c r="E29" i="11"/>
  <c r="E35" i="11" s="1"/>
  <c r="N35" i="11" s="1"/>
  <c r="F29" i="11"/>
  <c r="F35" i="11" s="1"/>
  <c r="G29" i="11"/>
  <c r="G35" i="11" s="1"/>
  <c r="H29" i="11"/>
  <c r="H35" i="11" s="1"/>
  <c r="I29" i="11"/>
  <c r="I35" i="11" s="1"/>
  <c r="J29" i="11"/>
  <c r="J35" i="11" s="1"/>
  <c r="K29" i="11"/>
  <c r="K35" i="11" s="1"/>
  <c r="D30" i="11"/>
  <c r="E30" i="11"/>
  <c r="F30" i="11"/>
  <c r="G30" i="11"/>
  <c r="H30" i="11"/>
  <c r="I30" i="11"/>
  <c r="J30" i="11"/>
  <c r="K30" i="11"/>
  <c r="D31" i="11"/>
  <c r="E31" i="11"/>
  <c r="F31" i="11"/>
  <c r="G31" i="11"/>
  <c r="H31" i="11"/>
  <c r="I31" i="11"/>
  <c r="J31" i="11"/>
  <c r="K31" i="11"/>
  <c r="C31" i="11"/>
  <c r="C30" i="11"/>
  <c r="C29" i="11"/>
  <c r="C35" i="11" s="1"/>
  <c r="C27" i="11"/>
  <c r="C33" i="11" s="1"/>
  <c r="L50" i="11"/>
  <c r="L52" i="11" s="1"/>
  <c r="D50" i="11"/>
  <c r="D52" i="11" s="1"/>
  <c r="E50" i="11"/>
  <c r="E52" i="11" s="1"/>
  <c r="F50" i="11"/>
  <c r="F52" i="11" s="1"/>
  <c r="G50" i="11"/>
  <c r="G52" i="11" s="1"/>
  <c r="H50" i="11"/>
  <c r="H52" i="11" s="1"/>
  <c r="I50" i="11"/>
  <c r="I52" i="11" s="1"/>
  <c r="J50" i="11"/>
  <c r="J52" i="11" s="1"/>
  <c r="K50" i="11"/>
  <c r="K52" i="11" s="1"/>
  <c r="C50" i="11"/>
  <c r="C52" i="11" s="1"/>
  <c r="D17" i="11"/>
  <c r="E17" i="11"/>
  <c r="F17" i="11"/>
  <c r="G17" i="11"/>
  <c r="H17" i="11"/>
  <c r="I17" i="11"/>
  <c r="J17" i="11"/>
  <c r="K17" i="11"/>
  <c r="L17" i="11"/>
  <c r="D18" i="11"/>
  <c r="E18" i="11"/>
  <c r="F18" i="11"/>
  <c r="G18" i="11"/>
  <c r="H18" i="11"/>
  <c r="I18" i="11"/>
  <c r="J18" i="11"/>
  <c r="K18" i="11"/>
  <c r="L18" i="11"/>
  <c r="C18" i="11"/>
  <c r="C17" i="11"/>
  <c r="C5" i="11"/>
  <c r="O5" i="11" s="1"/>
  <c r="M16" i="8"/>
  <c r="D5" i="11"/>
  <c r="N5" i="11" s="1"/>
  <c r="E5" i="11"/>
  <c r="F5" i="11"/>
  <c r="G5" i="11"/>
  <c r="H5" i="11"/>
  <c r="I5" i="11"/>
  <c r="J5" i="11"/>
  <c r="K5" i="11"/>
  <c r="L5" i="11"/>
  <c r="E9" i="11"/>
  <c r="F9" i="11"/>
  <c r="G9" i="11"/>
  <c r="H9" i="11"/>
  <c r="I9" i="11"/>
  <c r="J9" i="11"/>
  <c r="K9" i="11"/>
  <c r="D9" i="11"/>
  <c r="L3" i="11"/>
  <c r="K3" i="11"/>
  <c r="D3" i="11"/>
  <c r="E3" i="11"/>
  <c r="F3" i="11"/>
  <c r="G3" i="11"/>
  <c r="H3" i="11"/>
  <c r="I3" i="11"/>
  <c r="J3" i="11"/>
  <c r="C3" i="11"/>
  <c r="E99" i="8"/>
  <c r="C92" i="8"/>
  <c r="C99" i="8" s="1"/>
  <c r="D92" i="8"/>
  <c r="E92" i="8"/>
  <c r="F92" i="8"/>
  <c r="G92" i="8"/>
  <c r="H92" i="8"/>
  <c r="I92" i="8"/>
  <c r="J92" i="8"/>
  <c r="K92" i="8"/>
  <c r="L92" i="8"/>
  <c r="C93" i="8"/>
  <c r="D93" i="8"/>
  <c r="E93" i="8"/>
  <c r="F93" i="8"/>
  <c r="G93" i="8"/>
  <c r="H93" i="8"/>
  <c r="I93" i="8"/>
  <c r="J93" i="8"/>
  <c r="K93" i="8"/>
  <c r="L93" i="8"/>
  <c r="C94" i="8"/>
  <c r="D94" i="8"/>
  <c r="E94" i="8"/>
  <c r="F94" i="8"/>
  <c r="G94" i="8"/>
  <c r="H94" i="8"/>
  <c r="I94" i="8"/>
  <c r="J94" i="8"/>
  <c r="J99" i="8" s="1"/>
  <c r="K94" i="8"/>
  <c r="L94" i="8"/>
  <c r="C95" i="8"/>
  <c r="D95" i="8"/>
  <c r="E95" i="8"/>
  <c r="F95" i="8"/>
  <c r="G95" i="8"/>
  <c r="H95" i="8"/>
  <c r="I95" i="8"/>
  <c r="J95" i="8"/>
  <c r="K95" i="8"/>
  <c r="K99" i="8" s="1"/>
  <c r="L95" i="8"/>
  <c r="L99" i="8" s="1"/>
  <c r="C96" i="8"/>
  <c r="D96" i="8"/>
  <c r="E96" i="8"/>
  <c r="F96" i="8"/>
  <c r="G96" i="8"/>
  <c r="H96" i="8"/>
  <c r="I96" i="8"/>
  <c r="J96" i="8"/>
  <c r="K96" i="8"/>
  <c r="L96" i="8"/>
  <c r="C97" i="8"/>
  <c r="D97" i="8"/>
  <c r="D99" i="8" s="1"/>
  <c r="E97" i="8"/>
  <c r="F97" i="8"/>
  <c r="G97" i="8"/>
  <c r="H97" i="8"/>
  <c r="I97" i="8"/>
  <c r="J97" i="8"/>
  <c r="K97" i="8"/>
  <c r="L97" i="8"/>
  <c r="C98" i="8"/>
  <c r="D98" i="8"/>
  <c r="E98" i="8"/>
  <c r="F98" i="8"/>
  <c r="G98" i="8"/>
  <c r="H98" i="8"/>
  <c r="I98" i="8"/>
  <c r="J98" i="8"/>
  <c r="K98" i="8"/>
  <c r="L98" i="8"/>
  <c r="D91" i="8"/>
  <c r="E91" i="8"/>
  <c r="F91" i="8"/>
  <c r="F99" i="8" s="1"/>
  <c r="G91" i="8"/>
  <c r="G99" i="8" s="1"/>
  <c r="H91" i="8"/>
  <c r="H99" i="8" s="1"/>
  <c r="I91" i="8"/>
  <c r="I99" i="8" s="1"/>
  <c r="J91" i="8"/>
  <c r="K91" i="8"/>
  <c r="L91" i="8"/>
  <c r="C91" i="8"/>
  <c r="B91" i="8" a="1"/>
  <c r="B91" i="8" s="1"/>
  <c r="J88" i="8"/>
  <c r="C82" i="8"/>
  <c r="C88" i="8" s="1"/>
  <c r="D82" i="8"/>
  <c r="E82" i="8"/>
  <c r="F82" i="8"/>
  <c r="G82" i="8"/>
  <c r="H82" i="8"/>
  <c r="I82" i="8"/>
  <c r="J82" i="8"/>
  <c r="K82" i="8"/>
  <c r="L82" i="8"/>
  <c r="C83" i="8"/>
  <c r="D83" i="8"/>
  <c r="E83" i="8"/>
  <c r="F83" i="8"/>
  <c r="G83" i="8"/>
  <c r="H83" i="8"/>
  <c r="I83" i="8"/>
  <c r="J83" i="8"/>
  <c r="K83" i="8"/>
  <c r="L83" i="8"/>
  <c r="C84" i="8"/>
  <c r="D84" i="8"/>
  <c r="E84" i="8"/>
  <c r="F84" i="8"/>
  <c r="G84" i="8"/>
  <c r="H84" i="8"/>
  <c r="I84" i="8"/>
  <c r="J84" i="8"/>
  <c r="K84" i="8"/>
  <c r="L84" i="8"/>
  <c r="C85" i="8"/>
  <c r="D85" i="8"/>
  <c r="D88" i="8" s="1"/>
  <c r="E85" i="8"/>
  <c r="E88" i="8" s="1"/>
  <c r="F85" i="8"/>
  <c r="G85" i="8"/>
  <c r="H85" i="8"/>
  <c r="I85" i="8"/>
  <c r="J85" i="8"/>
  <c r="K85" i="8"/>
  <c r="L85" i="8"/>
  <c r="C86" i="8"/>
  <c r="D86" i="8"/>
  <c r="E86" i="8"/>
  <c r="F86" i="8"/>
  <c r="F88" i="8" s="1"/>
  <c r="G86" i="8"/>
  <c r="G88" i="8" s="1"/>
  <c r="H86" i="8"/>
  <c r="I86" i="8"/>
  <c r="J86" i="8"/>
  <c r="K86" i="8"/>
  <c r="L86" i="8"/>
  <c r="C87" i="8"/>
  <c r="D87" i="8"/>
  <c r="E87" i="8"/>
  <c r="F87" i="8"/>
  <c r="G87" i="8"/>
  <c r="H87" i="8"/>
  <c r="H88" i="8" s="1"/>
  <c r="I87" i="8"/>
  <c r="I88" i="8" s="1"/>
  <c r="J87" i="8"/>
  <c r="K87" i="8"/>
  <c r="L87" i="8"/>
  <c r="D81" i="8"/>
  <c r="E81" i="8"/>
  <c r="F81" i="8"/>
  <c r="G81" i="8"/>
  <c r="H81" i="8"/>
  <c r="I81" i="8"/>
  <c r="J81" i="8"/>
  <c r="K81" i="8"/>
  <c r="K88" i="8" s="1"/>
  <c r="L81" i="8"/>
  <c r="L88" i="8" s="1"/>
  <c r="C81" i="8"/>
  <c r="B81" i="8" a="1"/>
  <c r="B81" i="8" s="1"/>
  <c r="C78" i="8"/>
  <c r="C77" i="8"/>
  <c r="D77" i="8"/>
  <c r="E77" i="8"/>
  <c r="F77" i="8"/>
  <c r="G77" i="8"/>
  <c r="H77" i="8"/>
  <c r="I77" i="8"/>
  <c r="J77" i="8"/>
  <c r="K77" i="8"/>
  <c r="L77" i="8"/>
  <c r="C73" i="8"/>
  <c r="D73" i="8"/>
  <c r="E73" i="8"/>
  <c r="F73" i="8"/>
  <c r="G73" i="8"/>
  <c r="H73" i="8"/>
  <c r="I73" i="8"/>
  <c r="J73" i="8"/>
  <c r="K73" i="8"/>
  <c r="L73" i="8"/>
  <c r="C74" i="8"/>
  <c r="D74" i="8"/>
  <c r="E74" i="8"/>
  <c r="F74" i="8"/>
  <c r="G74" i="8"/>
  <c r="H74" i="8"/>
  <c r="I74" i="8"/>
  <c r="J74" i="8"/>
  <c r="K74" i="8"/>
  <c r="L74" i="8"/>
  <c r="C75" i="8"/>
  <c r="D75" i="8"/>
  <c r="E75" i="8"/>
  <c r="F75" i="8"/>
  <c r="G75" i="8"/>
  <c r="H75" i="8"/>
  <c r="H78" i="8" s="1"/>
  <c r="I75" i="8"/>
  <c r="J75" i="8"/>
  <c r="K75" i="8"/>
  <c r="L75" i="8"/>
  <c r="C76" i="8"/>
  <c r="D76" i="8"/>
  <c r="E76" i="8"/>
  <c r="F76" i="8"/>
  <c r="G76" i="8"/>
  <c r="H76" i="8"/>
  <c r="I76" i="8"/>
  <c r="I78" i="8" s="1"/>
  <c r="J76" i="8"/>
  <c r="K76" i="8"/>
  <c r="L76" i="8"/>
  <c r="D72" i="8"/>
  <c r="D78" i="8" s="1"/>
  <c r="E72" i="8"/>
  <c r="E78" i="8" s="1"/>
  <c r="F72" i="8"/>
  <c r="F78" i="8" s="1"/>
  <c r="G72" i="8"/>
  <c r="G78" i="8" s="1"/>
  <c r="H72" i="8"/>
  <c r="I72" i="8"/>
  <c r="J72" i="8"/>
  <c r="J78" i="8" s="1"/>
  <c r="K72" i="8"/>
  <c r="K78" i="8" s="1"/>
  <c r="L72" i="8"/>
  <c r="L78" i="8" s="1"/>
  <c r="C72" i="8"/>
  <c r="B72" i="8" a="1"/>
  <c r="B72" i="8" s="1"/>
  <c r="C30" i="9"/>
  <c r="D30" i="9"/>
  <c r="E30" i="9"/>
  <c r="F30" i="9"/>
  <c r="G30" i="9"/>
  <c r="H30" i="9"/>
  <c r="I30" i="9"/>
  <c r="J30" i="9"/>
  <c r="K30" i="9"/>
  <c r="L30" i="9"/>
  <c r="M30" i="9"/>
  <c r="N30" i="9"/>
  <c r="D58" i="8"/>
  <c r="E58" i="8"/>
  <c r="F58" i="8"/>
  <c r="G58" i="8"/>
  <c r="H58" i="8"/>
  <c r="I58" i="8"/>
  <c r="J58" i="8"/>
  <c r="K58" i="8"/>
  <c r="L58" i="8"/>
  <c r="C58" i="8"/>
  <c r="I64" i="8"/>
  <c r="J64" i="8"/>
  <c r="C62" i="8"/>
  <c r="C64" i="8" s="1"/>
  <c r="D62" i="8"/>
  <c r="E62" i="8"/>
  <c r="F62" i="8"/>
  <c r="G62" i="8"/>
  <c r="G64" i="8" s="1"/>
  <c r="H62" i="8"/>
  <c r="H64" i="8" s="1"/>
  <c r="I62" i="8"/>
  <c r="J62" i="8"/>
  <c r="K62" i="8"/>
  <c r="K64" i="8" s="1"/>
  <c r="L62" i="8"/>
  <c r="L64" i="8" s="1"/>
  <c r="C63" i="8"/>
  <c r="D63" i="8"/>
  <c r="E63" i="8"/>
  <c r="F63" i="8"/>
  <c r="G63" i="8"/>
  <c r="H63" i="8"/>
  <c r="I63" i="8"/>
  <c r="J63" i="8"/>
  <c r="K63" i="8"/>
  <c r="L63" i="8"/>
  <c r="D61" i="8"/>
  <c r="D64" i="8" s="1"/>
  <c r="D66" i="8" s="1"/>
  <c r="D68" i="8" s="1"/>
  <c r="E61" i="8"/>
  <c r="E64" i="8" s="1"/>
  <c r="F61" i="8"/>
  <c r="F64" i="8" s="1"/>
  <c r="G61" i="8"/>
  <c r="H61" i="8"/>
  <c r="I61" i="8"/>
  <c r="J61" i="8"/>
  <c r="K61" i="8"/>
  <c r="L61" i="8"/>
  <c r="C61" i="8"/>
  <c r="D59" i="8"/>
  <c r="E59" i="8"/>
  <c r="F59" i="8"/>
  <c r="G59" i="8"/>
  <c r="C56" i="8"/>
  <c r="D56" i="8"/>
  <c r="E56" i="8"/>
  <c r="F56" i="8"/>
  <c r="G56" i="8"/>
  <c r="H56" i="8"/>
  <c r="I56" i="8"/>
  <c r="J56" i="8"/>
  <c r="K56" i="8"/>
  <c r="L56" i="8"/>
  <c r="C57" i="8"/>
  <c r="D57" i="8"/>
  <c r="E57" i="8"/>
  <c r="F57" i="8"/>
  <c r="G57" i="8"/>
  <c r="H57" i="8"/>
  <c r="I57" i="8"/>
  <c r="J57" i="8"/>
  <c r="K57" i="8"/>
  <c r="L57" i="8"/>
  <c r="D55" i="8"/>
  <c r="E55" i="8"/>
  <c r="F55" i="8"/>
  <c r="G55" i="8"/>
  <c r="H55" i="8"/>
  <c r="H59" i="8" s="1"/>
  <c r="I55" i="8"/>
  <c r="I59" i="8" s="1"/>
  <c r="I66" i="8" s="1"/>
  <c r="I68" i="8" s="1"/>
  <c r="J55" i="8"/>
  <c r="J59" i="8" s="1"/>
  <c r="J66" i="8" s="1"/>
  <c r="J68" i="8" s="1"/>
  <c r="K55" i="8"/>
  <c r="L55" i="8"/>
  <c r="C55" i="8"/>
  <c r="C53" i="8"/>
  <c r="D53" i="8"/>
  <c r="E53" i="8"/>
  <c r="F53" i="8"/>
  <c r="G53" i="8"/>
  <c r="H53" i="8"/>
  <c r="I53" i="8"/>
  <c r="J53" i="8"/>
  <c r="K53" i="8"/>
  <c r="L53" i="8"/>
  <c r="D49" i="8"/>
  <c r="E49" i="8"/>
  <c r="F49" i="8"/>
  <c r="G49" i="8"/>
  <c r="H49" i="8"/>
  <c r="I49" i="8"/>
  <c r="J49" i="8"/>
  <c r="K49" i="8"/>
  <c r="L49" i="8"/>
  <c r="D50" i="8"/>
  <c r="E50" i="8"/>
  <c r="F50" i="8"/>
  <c r="G50" i="8"/>
  <c r="H50" i="8"/>
  <c r="I50" i="8"/>
  <c r="J50" i="8"/>
  <c r="K50" i="8"/>
  <c r="L50" i="8"/>
  <c r="D51" i="8"/>
  <c r="E51" i="8"/>
  <c r="F51" i="8"/>
  <c r="G51" i="8"/>
  <c r="H51" i="8"/>
  <c r="I51" i="8"/>
  <c r="J51" i="8"/>
  <c r="K51" i="8"/>
  <c r="L51" i="8"/>
  <c r="D52" i="8"/>
  <c r="E52" i="8"/>
  <c r="F52" i="8"/>
  <c r="G52" i="8"/>
  <c r="H52" i="8"/>
  <c r="I52" i="8"/>
  <c r="J52" i="8"/>
  <c r="K52" i="8"/>
  <c r="L52" i="8"/>
  <c r="C50" i="8"/>
  <c r="C51" i="8"/>
  <c r="C52" i="8"/>
  <c r="C49" i="8"/>
  <c r="B50" i="8"/>
  <c r="B51" i="8"/>
  <c r="B52" i="8"/>
  <c r="B49" i="8"/>
  <c r="D42" i="8"/>
  <c r="F42" i="8"/>
  <c r="G42" i="8"/>
  <c r="H42" i="8"/>
  <c r="I42" i="8"/>
  <c r="J42" i="8"/>
  <c r="K42" i="8"/>
  <c r="L42" i="8"/>
  <c r="C42" i="8"/>
  <c r="D36" i="8"/>
  <c r="E36" i="8"/>
  <c r="E42" i="8" s="1"/>
  <c r="F36" i="8"/>
  <c r="G36" i="8"/>
  <c r="H36" i="8"/>
  <c r="I36" i="8"/>
  <c r="J36" i="8"/>
  <c r="K36" i="8"/>
  <c r="L36" i="8"/>
  <c r="C36" i="8"/>
  <c r="M30" i="8"/>
  <c r="D30" i="8"/>
  <c r="E30" i="8"/>
  <c r="F30" i="8"/>
  <c r="G30" i="8"/>
  <c r="H30" i="8"/>
  <c r="I30" i="8"/>
  <c r="J30" i="8"/>
  <c r="K30" i="8"/>
  <c r="L30" i="8"/>
  <c r="C30" i="8"/>
  <c r="M24" i="8"/>
  <c r="M21" i="8"/>
  <c r="M22" i="8" s="1"/>
  <c r="D24" i="8"/>
  <c r="E24" i="8"/>
  <c r="F24" i="8"/>
  <c r="G24" i="8"/>
  <c r="H24" i="8"/>
  <c r="I24" i="8"/>
  <c r="J24" i="8"/>
  <c r="K24" i="8"/>
  <c r="L24" i="8"/>
  <c r="C24" i="8"/>
  <c r="C25" i="8" s="1"/>
  <c r="C22" i="8"/>
  <c r="D21" i="8"/>
  <c r="D22" i="8" s="1"/>
  <c r="E21" i="8"/>
  <c r="F21" i="8"/>
  <c r="G21" i="8"/>
  <c r="G22" i="8" s="1"/>
  <c r="H21" i="8"/>
  <c r="I21" i="8"/>
  <c r="J21" i="8"/>
  <c r="K21" i="8"/>
  <c r="L21" i="8"/>
  <c r="C21" i="8"/>
  <c r="D15" i="8"/>
  <c r="E15" i="8"/>
  <c r="F15" i="8"/>
  <c r="G15" i="8"/>
  <c r="H15" i="8"/>
  <c r="I15" i="8"/>
  <c r="J15" i="8"/>
  <c r="K15" i="8"/>
  <c r="L15" i="8"/>
  <c r="C15" i="8"/>
  <c r="M9" i="8"/>
  <c r="M6" i="8"/>
  <c r="D9" i="8"/>
  <c r="E9" i="8"/>
  <c r="F9" i="8"/>
  <c r="G9" i="8"/>
  <c r="H9" i="8"/>
  <c r="I9" i="8"/>
  <c r="J9" i="8"/>
  <c r="K9" i="8"/>
  <c r="L9" i="8"/>
  <c r="C9" i="8"/>
  <c r="C6" i="8"/>
  <c r="C16" i="8" s="1"/>
  <c r="L3" i="8"/>
  <c r="D6" i="8"/>
  <c r="E6" i="8"/>
  <c r="E7" i="8" s="1"/>
  <c r="F6" i="8"/>
  <c r="F7" i="8" s="1"/>
  <c r="G6" i="8"/>
  <c r="H6" i="8"/>
  <c r="I6" i="8"/>
  <c r="J6" i="8"/>
  <c r="K6" i="8"/>
  <c r="K7" i="8" s="1"/>
  <c r="L6" i="8"/>
  <c r="J3" i="8"/>
  <c r="K3" i="8"/>
  <c r="D3" i="8"/>
  <c r="E3" i="8"/>
  <c r="F3" i="8"/>
  <c r="G3" i="8"/>
  <c r="H3" i="8"/>
  <c r="I3" i="8"/>
  <c r="C3" i="8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B6" i="6"/>
  <c r="C17" i="2"/>
  <c r="D17" i="2"/>
  <c r="E17" i="2"/>
  <c r="F17" i="2"/>
  <c r="G17" i="2"/>
  <c r="H17" i="2"/>
  <c r="I17" i="2"/>
  <c r="J17" i="2"/>
  <c r="J20" i="2" s="1"/>
  <c r="K17" i="2"/>
  <c r="C18" i="2"/>
  <c r="D18" i="2"/>
  <c r="E18" i="2"/>
  <c r="F18" i="2"/>
  <c r="G18" i="2"/>
  <c r="H18" i="2"/>
  <c r="I18" i="2"/>
  <c r="J18" i="2"/>
  <c r="J21" i="2" s="1"/>
  <c r="K18" i="2"/>
  <c r="K21" i="2" s="1"/>
  <c r="B17" i="2"/>
  <c r="C4" i="2"/>
  <c r="D4" i="2"/>
  <c r="E4" i="2"/>
  <c r="E5" i="2"/>
  <c r="F4" i="2"/>
  <c r="G4" i="2"/>
  <c r="H4" i="2"/>
  <c r="I4" i="2"/>
  <c r="I5" i="2"/>
  <c r="J4" i="2"/>
  <c r="J5" i="2"/>
  <c r="J23" i="2" s="1"/>
  <c r="K4" i="2"/>
  <c r="C5" i="2"/>
  <c r="C23" i="2" s="1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H16" i="2" s="1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C16" i="2" s="1"/>
  <c r="D13" i="2"/>
  <c r="E13" i="2"/>
  <c r="E16" i="2" s="1"/>
  <c r="F13" i="2"/>
  <c r="G13" i="2"/>
  <c r="H13" i="2"/>
  <c r="I13" i="2"/>
  <c r="J13" i="2"/>
  <c r="J16" i="2" s="1"/>
  <c r="K13" i="2"/>
  <c r="K16" i="2" s="1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F14" i="3" s="1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L10" i="1" s="1"/>
  <c r="I10" i="3"/>
  <c r="J10" i="3"/>
  <c r="K10" i="3"/>
  <c r="C11" i="3"/>
  <c r="D11" i="3"/>
  <c r="E11" i="3"/>
  <c r="F11" i="3"/>
  <c r="G11" i="3"/>
  <c r="H11" i="3"/>
  <c r="L11" i="1" s="1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C6" i="1" s="1"/>
  <c r="C19" i="1" s="1"/>
  <c r="D4" i="1"/>
  <c r="E4" i="1"/>
  <c r="F4" i="1"/>
  <c r="F20" i="2" s="1"/>
  <c r="G4" i="1"/>
  <c r="G6" i="1" s="1"/>
  <c r="G19" i="1" s="1"/>
  <c r="H4" i="1"/>
  <c r="I4" i="1"/>
  <c r="J4" i="1"/>
  <c r="J6" i="1" s="1"/>
  <c r="J19" i="1" s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C14" i="1" s="1"/>
  <c r="D12" i="1"/>
  <c r="E12" i="1"/>
  <c r="F12" i="1"/>
  <c r="F13" i="1" s="1"/>
  <c r="G12" i="1"/>
  <c r="G23" i="2" s="1"/>
  <c r="H12" i="1"/>
  <c r="H13" i="1" s="1"/>
  <c r="I12" i="1"/>
  <c r="I13" i="1" s="1"/>
  <c r="J12" i="1"/>
  <c r="J13" i="1" s="1"/>
  <c r="J14" i="1" s="1"/>
  <c r="K12" i="1"/>
  <c r="K13" i="1" s="1"/>
  <c r="K14" i="1" s="1"/>
  <c r="C15" i="1"/>
  <c r="D15" i="1"/>
  <c r="E15" i="1"/>
  <c r="F15" i="1"/>
  <c r="G15" i="1"/>
  <c r="H15" i="1"/>
  <c r="I15" i="1"/>
  <c r="J15" i="1"/>
  <c r="K15" i="1"/>
  <c r="B15" i="1"/>
  <c r="B7" i="1"/>
  <c r="B4" i="1"/>
  <c r="B20" i="2" s="1"/>
  <c r="A1" i="1"/>
  <c r="A1" i="3" s="1"/>
  <c r="E1" i="6"/>
  <c r="H1" i="1" s="1"/>
  <c r="E1" i="2"/>
  <c r="D16" i="2"/>
  <c r="K23" i="2"/>
  <c r="F23" i="2"/>
  <c r="F16" i="2"/>
  <c r="E6" i="1"/>
  <c r="E19" i="1" s="1"/>
  <c r="D23" i="2"/>
  <c r="I6" i="1"/>
  <c r="I19" i="1" s="1"/>
  <c r="K6" i="1"/>
  <c r="K19" i="1" s="1"/>
  <c r="D6" i="1"/>
  <c r="D19" i="1" s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I21" i="2"/>
  <c r="H21" i="2"/>
  <c r="G21" i="2"/>
  <c r="E21" i="2"/>
  <c r="D21" i="2"/>
  <c r="B18" i="2"/>
  <c r="B21" i="2"/>
  <c r="B13" i="2"/>
  <c r="B12" i="2"/>
  <c r="B11" i="2"/>
  <c r="B10" i="2"/>
  <c r="B8" i="2"/>
  <c r="B7" i="2"/>
  <c r="B6" i="2"/>
  <c r="B3" i="2"/>
  <c r="J14" i="3"/>
  <c r="H14" i="3"/>
  <c r="B12" i="3"/>
  <c r="B11" i="3"/>
  <c r="B10" i="3"/>
  <c r="B9" i="3"/>
  <c r="B8" i="3"/>
  <c r="B7" i="3"/>
  <c r="B4" i="3"/>
  <c r="B14" i="3" s="1"/>
  <c r="B3" i="3"/>
  <c r="L15" i="1"/>
  <c r="B12" i="1"/>
  <c r="B13" i="1" s="1"/>
  <c r="B11" i="1"/>
  <c r="B10" i="1"/>
  <c r="B9" i="1"/>
  <c r="B8" i="1"/>
  <c r="B3" i="1"/>
  <c r="E14" i="3"/>
  <c r="I14" i="3"/>
  <c r="G14" i="3"/>
  <c r="K20" i="2"/>
  <c r="D20" i="2"/>
  <c r="E20" i="2"/>
  <c r="L12" i="1"/>
  <c r="L13" i="1" s="1"/>
  <c r="L14" i="1" s="1"/>
  <c r="L25" i="1" s="1"/>
  <c r="L6" i="1"/>
  <c r="L4" i="1"/>
  <c r="L23" i="1" s="1"/>
  <c r="A1" i="2"/>
  <c r="A1" i="4" s="1"/>
  <c r="H23" i="1"/>
  <c r="I23" i="1"/>
  <c r="J23" i="1"/>
  <c r="L5" i="1"/>
  <c r="D35" i="10" l="1"/>
  <c r="O18" i="11"/>
  <c r="O35" i="11"/>
  <c r="O17" i="11"/>
  <c r="N30" i="11"/>
  <c r="O38" i="11"/>
  <c r="O31" i="11"/>
  <c r="O52" i="11"/>
  <c r="O34" i="11"/>
  <c r="N34" i="11"/>
  <c r="N28" i="11"/>
  <c r="O30" i="11"/>
  <c r="H36" i="11"/>
  <c r="N27" i="11"/>
  <c r="O29" i="11"/>
  <c r="C36" i="11"/>
  <c r="N18" i="11"/>
  <c r="O28" i="11"/>
  <c r="N52" i="11"/>
  <c r="N17" i="11"/>
  <c r="O27" i="11"/>
  <c r="N50" i="11"/>
  <c r="O50" i="11"/>
  <c r="J36" i="11"/>
  <c r="N33" i="11"/>
  <c r="N31" i="11"/>
  <c r="O33" i="11"/>
  <c r="N29" i="11"/>
  <c r="O40" i="11"/>
  <c r="N38" i="11"/>
  <c r="N40" i="11"/>
  <c r="D39" i="11"/>
  <c r="J39" i="11"/>
  <c r="I39" i="11"/>
  <c r="D4" i="12"/>
  <c r="G36" i="11"/>
  <c r="L36" i="11"/>
  <c r="F36" i="11"/>
  <c r="E36" i="11"/>
  <c r="D36" i="11"/>
  <c r="I36" i="11"/>
  <c r="D101" i="8"/>
  <c r="K101" i="8"/>
  <c r="H66" i="8"/>
  <c r="I101" i="8"/>
  <c r="L101" i="8"/>
  <c r="J101" i="8"/>
  <c r="H101" i="8"/>
  <c r="G101" i="8"/>
  <c r="F101" i="8"/>
  <c r="C101" i="8"/>
  <c r="E101" i="8"/>
  <c r="G66" i="8"/>
  <c r="E66" i="8"/>
  <c r="M25" i="8"/>
  <c r="K59" i="8"/>
  <c r="K66" i="8" s="1"/>
  <c r="J12" i="8"/>
  <c r="J18" i="8" s="1"/>
  <c r="I25" i="8"/>
  <c r="F66" i="8"/>
  <c r="C59" i="8"/>
  <c r="C66" i="8" s="1"/>
  <c r="L59" i="8"/>
  <c r="L66" i="8" s="1"/>
  <c r="H12" i="8"/>
  <c r="H18" i="8" s="1"/>
  <c r="F22" i="8"/>
  <c r="G7" i="8"/>
  <c r="E22" i="8"/>
  <c r="I22" i="8"/>
  <c r="H22" i="8"/>
  <c r="J13" i="8"/>
  <c r="J11" i="11" s="1"/>
  <c r="E25" i="8"/>
  <c r="D25" i="8"/>
  <c r="L7" i="8"/>
  <c r="L25" i="8"/>
  <c r="K25" i="8"/>
  <c r="M7" i="8"/>
  <c r="F25" i="8"/>
  <c r="J25" i="8"/>
  <c r="L22" i="8"/>
  <c r="H25" i="8"/>
  <c r="D12" i="8"/>
  <c r="K22" i="8"/>
  <c r="G25" i="8"/>
  <c r="J22" i="8"/>
  <c r="I16" i="8"/>
  <c r="M10" i="8"/>
  <c r="C10" i="8"/>
  <c r="L10" i="8"/>
  <c r="L16" i="8"/>
  <c r="K10" i="8"/>
  <c r="K16" i="8"/>
  <c r="J10" i="8"/>
  <c r="J16" i="8"/>
  <c r="I10" i="8"/>
  <c r="H10" i="8"/>
  <c r="H16" i="8"/>
  <c r="G10" i="8"/>
  <c r="G16" i="8"/>
  <c r="F10" i="8"/>
  <c r="F16" i="8"/>
  <c r="E10" i="8"/>
  <c r="E16" i="8"/>
  <c r="D10" i="8"/>
  <c r="D16" i="8"/>
  <c r="D7" i="8"/>
  <c r="G12" i="8"/>
  <c r="F12" i="8"/>
  <c r="E12" i="8"/>
  <c r="C12" i="8"/>
  <c r="L12" i="8"/>
  <c r="M12" i="8"/>
  <c r="K12" i="8"/>
  <c r="J7" i="8"/>
  <c r="I7" i="8"/>
  <c r="H7" i="8"/>
  <c r="I12" i="8"/>
  <c r="F14" i="1"/>
  <c r="N11" i="1"/>
  <c r="M11" i="1"/>
  <c r="G13" i="1"/>
  <c r="G14" i="1" s="1"/>
  <c r="C21" i="2"/>
  <c r="F24" i="2"/>
  <c r="L19" i="1"/>
  <c r="L24" i="1" s="1"/>
  <c r="G20" i="2"/>
  <c r="E24" i="2"/>
  <c r="H23" i="2"/>
  <c r="L7" i="1"/>
  <c r="D24" i="2"/>
  <c r="F21" i="2"/>
  <c r="E1" i="3"/>
  <c r="I16" i="2"/>
  <c r="K24" i="2"/>
  <c r="I14" i="1"/>
  <c r="K25" i="1" s="1"/>
  <c r="M25" i="1" s="1"/>
  <c r="M14" i="1" s="1"/>
  <c r="I23" i="2"/>
  <c r="C24" i="2"/>
  <c r="D13" i="1"/>
  <c r="E13" i="1" s="1"/>
  <c r="J24" i="2"/>
  <c r="I24" i="2"/>
  <c r="C20" i="2"/>
  <c r="H24" i="1"/>
  <c r="H24" i="2"/>
  <c r="B23" i="2"/>
  <c r="H14" i="1"/>
  <c r="L8" i="1"/>
  <c r="B16" i="2"/>
  <c r="G24" i="2"/>
  <c r="K24" i="1"/>
  <c r="M24" i="1" s="1"/>
  <c r="E23" i="2"/>
  <c r="E14" i="1"/>
  <c r="B14" i="1"/>
  <c r="D14" i="1"/>
  <c r="I24" i="1"/>
  <c r="J25" i="1"/>
  <c r="M9" i="1"/>
  <c r="N9" i="1"/>
  <c r="N8" i="1"/>
  <c r="M8" i="1"/>
  <c r="H25" i="1"/>
  <c r="I25" i="1"/>
  <c r="I20" i="2"/>
  <c r="J24" i="1"/>
  <c r="H20" i="2"/>
  <c r="K23" i="1"/>
  <c r="M23" i="1" s="1"/>
  <c r="M4" i="1" s="1"/>
  <c r="H6" i="1"/>
  <c r="H19" i="1" s="1"/>
  <c r="F6" i="1"/>
  <c r="F19" i="1" s="1"/>
  <c r="E1" i="4"/>
  <c r="O36" i="11" l="1"/>
  <c r="N36" i="11"/>
  <c r="K68" i="8"/>
  <c r="K39" i="11"/>
  <c r="H68" i="8"/>
  <c r="H39" i="11"/>
  <c r="E68" i="8"/>
  <c r="E39" i="11"/>
  <c r="G68" i="8"/>
  <c r="G39" i="11"/>
  <c r="L68" i="8"/>
  <c r="L39" i="11"/>
  <c r="C68" i="8"/>
  <c r="C39" i="11"/>
  <c r="F68" i="8"/>
  <c r="F39" i="11"/>
  <c r="H19" i="8"/>
  <c r="H12" i="11" s="1"/>
  <c r="H19" i="11" s="1"/>
  <c r="H44" i="11"/>
  <c r="H25" i="11"/>
  <c r="H21" i="11"/>
  <c r="H6" i="11"/>
  <c r="H13" i="11"/>
  <c r="J19" i="8"/>
  <c r="J12" i="11" s="1"/>
  <c r="J19" i="11" s="1"/>
  <c r="J21" i="11"/>
  <c r="J6" i="11"/>
  <c r="J13" i="11"/>
  <c r="J44" i="11"/>
  <c r="J25" i="11"/>
  <c r="D14" i="12"/>
  <c r="E14" i="12" s="1"/>
  <c r="D17" i="12"/>
  <c r="D16" i="12"/>
  <c r="D15" i="12"/>
  <c r="E15" i="12" s="1"/>
  <c r="E5" i="12"/>
  <c r="H27" i="8"/>
  <c r="H13" i="8"/>
  <c r="H11" i="11" s="1"/>
  <c r="J27" i="8"/>
  <c r="L18" i="8"/>
  <c r="L13" i="8"/>
  <c r="L11" i="11" s="1"/>
  <c r="C18" i="8"/>
  <c r="C13" i="8"/>
  <c r="C11" i="11" s="1"/>
  <c r="E18" i="8"/>
  <c r="E13" i="8"/>
  <c r="E11" i="11" s="1"/>
  <c r="H28" i="8"/>
  <c r="H14" i="11" s="1"/>
  <c r="H31" i="8"/>
  <c r="H45" i="11" s="1"/>
  <c r="F18" i="8"/>
  <c r="F13" i="8"/>
  <c r="F11" i="11" s="1"/>
  <c r="G18" i="8"/>
  <c r="G13" i="8"/>
  <c r="G11" i="11" s="1"/>
  <c r="I18" i="8"/>
  <c r="I13" i="8"/>
  <c r="I11" i="11" s="1"/>
  <c r="D18" i="8"/>
  <c r="D13" i="8"/>
  <c r="D11" i="11" s="1"/>
  <c r="K18" i="8"/>
  <c r="K13" i="8"/>
  <c r="K11" i="11" s="1"/>
  <c r="M13" i="8"/>
  <c r="M18" i="8"/>
  <c r="N24" i="1"/>
  <c r="N23" i="1"/>
  <c r="N4" i="1" s="1"/>
  <c r="N25" i="1"/>
  <c r="N14" i="1" s="1"/>
  <c r="N6" i="1"/>
  <c r="N10" i="1" s="1"/>
  <c r="N12" i="1" s="1"/>
  <c r="N13" i="1" s="1"/>
  <c r="M6" i="1"/>
  <c r="M10" i="1" s="1"/>
  <c r="M12" i="1" s="1"/>
  <c r="M13" i="1" s="1"/>
  <c r="M15" i="1" s="1"/>
  <c r="N39" i="11" l="1"/>
  <c r="O39" i="11"/>
  <c r="L21" i="11"/>
  <c r="L6" i="11"/>
  <c r="L44" i="11"/>
  <c r="L25" i="11"/>
  <c r="L13" i="11"/>
  <c r="H7" i="11"/>
  <c r="K6" i="11"/>
  <c r="K13" i="11"/>
  <c r="K44" i="11"/>
  <c r="K21" i="11"/>
  <c r="K25" i="11"/>
  <c r="H33" i="8"/>
  <c r="D6" i="11"/>
  <c r="D13" i="11"/>
  <c r="D44" i="11"/>
  <c r="D25" i="11"/>
  <c r="D21" i="11"/>
  <c r="O11" i="11"/>
  <c r="N11" i="11"/>
  <c r="I21" i="11"/>
  <c r="I6" i="11"/>
  <c r="I13" i="11"/>
  <c r="I44" i="11"/>
  <c r="I25" i="11"/>
  <c r="C25" i="11"/>
  <c r="C44" i="11"/>
  <c r="C13" i="11"/>
  <c r="J4" i="12" a="1"/>
  <c r="C21" i="11"/>
  <c r="J33" i="8"/>
  <c r="J34" i="8" s="1"/>
  <c r="J15" i="11" s="1"/>
  <c r="G21" i="11"/>
  <c r="G44" i="11"/>
  <c r="G25" i="11"/>
  <c r="G6" i="11"/>
  <c r="G13" i="11"/>
  <c r="J28" i="8"/>
  <c r="J14" i="11" s="1"/>
  <c r="F21" i="11"/>
  <c r="F6" i="11"/>
  <c r="F13" i="11"/>
  <c r="F44" i="11"/>
  <c r="F25" i="11"/>
  <c r="E6" i="11"/>
  <c r="E44" i="11"/>
  <c r="E25" i="11"/>
  <c r="E13" i="11"/>
  <c r="E21" i="11"/>
  <c r="J31" i="8"/>
  <c r="J45" i="11" s="1"/>
  <c r="H23" i="11"/>
  <c r="H49" i="11"/>
  <c r="H43" i="11"/>
  <c r="E16" i="12"/>
  <c r="E17" i="12"/>
  <c r="M27" i="8"/>
  <c r="M19" i="8"/>
  <c r="F19" i="8"/>
  <c r="F12" i="11" s="1"/>
  <c r="F19" i="11" s="1"/>
  <c r="F27" i="8"/>
  <c r="K19" i="8"/>
  <c r="K12" i="11" s="1"/>
  <c r="K19" i="11" s="1"/>
  <c r="K27" i="8"/>
  <c r="K7" i="11" s="1"/>
  <c r="H34" i="8"/>
  <c r="H15" i="11" s="1"/>
  <c r="H39" i="8"/>
  <c r="H48" i="11" s="1"/>
  <c r="D19" i="8"/>
  <c r="D12" i="11" s="1"/>
  <c r="D19" i="11" s="1"/>
  <c r="D27" i="8"/>
  <c r="D7" i="11" s="1"/>
  <c r="E19" i="8"/>
  <c r="E12" i="11" s="1"/>
  <c r="E19" i="11" s="1"/>
  <c r="E27" i="8"/>
  <c r="E7" i="11" s="1"/>
  <c r="I19" i="8"/>
  <c r="I12" i="11" s="1"/>
  <c r="I19" i="11" s="1"/>
  <c r="I27" i="8"/>
  <c r="I7" i="11" s="1"/>
  <c r="C19" i="8"/>
  <c r="C12" i="11" s="1"/>
  <c r="C27" i="8"/>
  <c r="G19" i="8"/>
  <c r="G12" i="11" s="1"/>
  <c r="G19" i="11" s="1"/>
  <c r="G27" i="8"/>
  <c r="G7" i="11" s="1"/>
  <c r="L19" i="8"/>
  <c r="L12" i="11" s="1"/>
  <c r="L19" i="11" s="1"/>
  <c r="L27" i="8"/>
  <c r="L7" i="11" s="1"/>
  <c r="N5" i="1"/>
  <c r="N15" i="1"/>
  <c r="M5" i="1"/>
  <c r="N21" i="11" l="1"/>
  <c r="O21" i="11"/>
  <c r="J7" i="11"/>
  <c r="J23" i="11"/>
  <c r="J4" i="12"/>
  <c r="J16" i="12" s="1"/>
  <c r="K16" i="12" s="1"/>
  <c r="K10" i="12"/>
  <c r="J15" i="12"/>
  <c r="K9" i="12"/>
  <c r="J14" i="12"/>
  <c r="K14" i="12" s="1"/>
  <c r="K11" i="12"/>
  <c r="K13" i="12"/>
  <c r="K12" i="12"/>
  <c r="K6" i="12"/>
  <c r="K7" i="12"/>
  <c r="K5" i="12"/>
  <c r="K8" i="12"/>
  <c r="C19" i="11"/>
  <c r="N12" i="11"/>
  <c r="O12" i="11"/>
  <c r="J43" i="11"/>
  <c r="J49" i="11"/>
  <c r="O13" i="11"/>
  <c r="N13" i="11"/>
  <c r="J39" i="8"/>
  <c r="J48" i="11" s="1"/>
  <c r="O44" i="11"/>
  <c r="N44" i="11"/>
  <c r="N25" i="11"/>
  <c r="N6" i="11"/>
  <c r="O6" i="11"/>
  <c r="F7" i="11"/>
  <c r="O7" i="11" s="1"/>
  <c r="H43" i="8"/>
  <c r="J43" i="8"/>
  <c r="G28" i="8"/>
  <c r="G14" i="11" s="1"/>
  <c r="G33" i="8"/>
  <c r="G31" i="8"/>
  <c r="G45" i="11" s="1"/>
  <c r="E33" i="8"/>
  <c r="E28" i="8"/>
  <c r="E14" i="11" s="1"/>
  <c r="E31" i="8"/>
  <c r="E45" i="11" s="1"/>
  <c r="L33" i="8"/>
  <c r="L28" i="8"/>
  <c r="L14" i="11" s="1"/>
  <c r="L31" i="8"/>
  <c r="L45" i="11" s="1"/>
  <c r="D28" i="8"/>
  <c r="D14" i="11" s="1"/>
  <c r="D33" i="8"/>
  <c r="D31" i="8"/>
  <c r="D45" i="11" s="1"/>
  <c r="K28" i="8"/>
  <c r="K14" i="11" s="1"/>
  <c r="K33" i="8"/>
  <c r="K31" i="8"/>
  <c r="K45" i="11" s="1"/>
  <c r="C33" i="8"/>
  <c r="C28" i="8"/>
  <c r="C14" i="11" s="1"/>
  <c r="C31" i="8"/>
  <c r="C45" i="11" s="1"/>
  <c r="F28" i="8"/>
  <c r="F14" i="11" s="1"/>
  <c r="F33" i="8"/>
  <c r="F31" i="8"/>
  <c r="F45" i="11" s="1"/>
  <c r="I33" i="8"/>
  <c r="I28" i="8"/>
  <c r="I14" i="11" s="1"/>
  <c r="I31" i="8"/>
  <c r="I45" i="11" s="1"/>
  <c r="M33" i="8"/>
  <c r="M28" i="8"/>
  <c r="M31" i="8"/>
  <c r="K15" i="12" l="1"/>
  <c r="N19" i="11"/>
  <c r="O19" i="11"/>
  <c r="J17" i="12"/>
  <c r="K17" i="12" s="1"/>
  <c r="N7" i="11"/>
  <c r="F8" i="11"/>
  <c r="F43" i="11"/>
  <c r="F49" i="11"/>
  <c r="F23" i="11"/>
  <c r="L43" i="11"/>
  <c r="L49" i="11"/>
  <c r="L8" i="11"/>
  <c r="L23" i="11"/>
  <c r="O45" i="11"/>
  <c r="N45" i="11"/>
  <c r="N14" i="11"/>
  <c r="O14" i="11"/>
  <c r="C49" i="11"/>
  <c r="C43" i="11"/>
  <c r="C23" i="11"/>
  <c r="E8" i="11"/>
  <c r="E43" i="11"/>
  <c r="E23" i="11"/>
  <c r="E49" i="11"/>
  <c r="K49" i="11"/>
  <c r="K23" i="11"/>
  <c r="K43" i="11"/>
  <c r="K8" i="11"/>
  <c r="G43" i="11"/>
  <c r="G8" i="11"/>
  <c r="G49" i="11"/>
  <c r="G23" i="11"/>
  <c r="H8" i="11"/>
  <c r="J45" i="8"/>
  <c r="J22" i="11" s="1"/>
  <c r="J24" i="11" s="1"/>
  <c r="J51" i="11"/>
  <c r="D49" i="11"/>
  <c r="D23" i="11"/>
  <c r="D43" i="11"/>
  <c r="D8" i="11"/>
  <c r="H45" i="8"/>
  <c r="H22" i="11" s="1"/>
  <c r="H24" i="11" s="1"/>
  <c r="H51" i="11"/>
  <c r="I49" i="11"/>
  <c r="I23" i="11"/>
  <c r="I8" i="11"/>
  <c r="I43" i="11"/>
  <c r="J8" i="11"/>
  <c r="D34" i="8"/>
  <c r="D15" i="11" s="1"/>
  <c r="D39" i="8"/>
  <c r="D48" i="11" s="1"/>
  <c r="I34" i="8"/>
  <c r="I15" i="11" s="1"/>
  <c r="I39" i="8"/>
  <c r="I48" i="11" s="1"/>
  <c r="F34" i="8"/>
  <c r="F15" i="11" s="1"/>
  <c r="F39" i="8"/>
  <c r="F48" i="11" s="1"/>
  <c r="L34" i="8"/>
  <c r="L39" i="8"/>
  <c r="L48" i="11" s="1"/>
  <c r="C34" i="8"/>
  <c r="C15" i="11" s="1"/>
  <c r="C39" i="8"/>
  <c r="E39" i="8"/>
  <c r="E48" i="11" s="1"/>
  <c r="E34" i="8"/>
  <c r="E15" i="11" s="1"/>
  <c r="K34" i="8"/>
  <c r="K15" i="11" s="1"/>
  <c r="K39" i="8"/>
  <c r="K48" i="11" s="1"/>
  <c r="G34" i="8"/>
  <c r="G15" i="11" s="1"/>
  <c r="G39" i="8"/>
  <c r="G48" i="11" s="1"/>
  <c r="M34" i="8"/>
  <c r="N8" i="11" l="1"/>
  <c r="O8" i="11"/>
  <c r="L15" i="11"/>
  <c r="N15" i="11" s="1"/>
  <c r="L9" i="11"/>
  <c r="C43" i="8"/>
  <c r="O4" i="12" a="1"/>
  <c r="C48" i="11"/>
  <c r="N23" i="11"/>
  <c r="O23" i="11"/>
  <c r="N43" i="11"/>
  <c r="O43" i="11"/>
  <c r="O49" i="11"/>
  <c r="N49" i="11"/>
  <c r="E40" i="8"/>
  <c r="E43" i="8"/>
  <c r="L43" i="8"/>
  <c r="L40" i="8"/>
  <c r="F43" i="8"/>
  <c r="F40" i="8"/>
  <c r="G40" i="8"/>
  <c r="G43" i="8"/>
  <c r="H40" i="8"/>
  <c r="I40" i="8"/>
  <c r="I43" i="8"/>
  <c r="J40" i="8"/>
  <c r="K43" i="8"/>
  <c r="K40" i="8"/>
  <c r="D43" i="8"/>
  <c r="D40" i="8"/>
  <c r="G45" i="8" l="1"/>
  <c r="G22" i="11" s="1"/>
  <c r="G24" i="11" s="1"/>
  <c r="G51" i="11"/>
  <c r="N48" i="11"/>
  <c r="O48" i="11"/>
  <c r="F45" i="8"/>
  <c r="F22" i="11" s="1"/>
  <c r="F24" i="11" s="1"/>
  <c r="F51" i="11"/>
  <c r="D45" i="8"/>
  <c r="D22" i="11" s="1"/>
  <c r="D24" i="11" s="1"/>
  <c r="D51" i="11"/>
  <c r="L45" i="8"/>
  <c r="L22" i="11" s="1"/>
  <c r="L24" i="11" s="1"/>
  <c r="L51" i="11"/>
  <c r="O15" i="11"/>
  <c r="I45" i="8"/>
  <c r="I22" i="11" s="1"/>
  <c r="I24" i="11" s="1"/>
  <c r="I51" i="11"/>
  <c r="O4" i="12"/>
  <c r="O16" i="12" s="1"/>
  <c r="P16" i="12" s="1"/>
  <c r="O15" i="12"/>
  <c r="P9" i="12"/>
  <c r="O14" i="12"/>
  <c r="P14" i="12" s="1"/>
  <c r="P13" i="12"/>
  <c r="P12" i="12"/>
  <c r="P11" i="12"/>
  <c r="P10" i="12"/>
  <c r="P7" i="12"/>
  <c r="P8" i="12"/>
  <c r="P5" i="12"/>
  <c r="P6" i="12"/>
  <c r="C45" i="8"/>
  <c r="C22" i="11" s="1"/>
  <c r="C51" i="11"/>
  <c r="N9" i="11"/>
  <c r="O9" i="11"/>
  <c r="E45" i="8"/>
  <c r="E22" i="11" s="1"/>
  <c r="E24" i="11" s="1"/>
  <c r="E51" i="11"/>
  <c r="K45" i="8"/>
  <c r="K22" i="11" s="1"/>
  <c r="K24" i="11" s="1"/>
  <c r="K51" i="11"/>
  <c r="O17" i="12" l="1"/>
  <c r="P17" i="12" s="1"/>
  <c r="P15" i="12"/>
  <c r="O51" i="11"/>
  <c r="N51" i="11"/>
  <c r="C24" i="11"/>
  <c r="N22" i="11"/>
  <c r="O22" i="11"/>
  <c r="N24" i="11" l="1"/>
  <c r="O24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<sst xmlns="http://schemas.openxmlformats.org/spreadsheetml/2006/main" count="347" uniqueCount="261">
  <si>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</si>
  <si>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</si>
  <si>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</si>
  <si>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</si>
  <si>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</si>
  <si>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</si>
  <si>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</si>
  <si>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</si>
  <si>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</si>
  <si>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</si>
  <si>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</si>
  <si>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</si>
  <si>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</si>
  <si>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</si>
  <si>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</si>
  <si>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</si>
  <si>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</si>
  <si>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</si>
  <si>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</si>
  <si>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</si>
  <si>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</si>
  <si>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</si>
  <si>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</si>
  <si>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</si>
  <si>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</si>
  <si>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</si>
  <si>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</si>
  <si>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</si>
  <si>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</si>
  <si>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</si>
  <si>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</si>
  <si>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</si>
  <si>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</si>
  <si>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</si>
  <si>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</si>
  <si>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</si>
  <si>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</si>
  <si>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</si>
  <si>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</si>
  <si>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</si>
  <si>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</si>
  <si>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</si>
  <si>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</si>
  <si>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</si>
  <si>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</si>
  <si>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</si>
  <si>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</si>
  <si>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</si>
  <si>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</si>
  <si>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</si>
  <si>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</si>
  <si>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</si>
  <si>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</si>
  <si>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</si>
  <si>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</si>
  <si>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</si>
  <si>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</si>
  <si>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</si>
  <si>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</si>
  <si>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</si>
  <si>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</si>
  <si>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</si>
  <si>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</si>
  <si>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RELIANCE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</si>
  <si>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</si>
  <si>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</si>
  <si>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</si>
  <si>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</si>
  <si>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</si>
  <si>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</si>
  <si>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</si>
  <si>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</si>
  <si>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</si>
  <si>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</si>
  <si>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</si>
  <si>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</si>
  <si>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</si>
  <si>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</si>
  <si>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</si>
  <si>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</si>
  <si>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</si>
  <si>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</si>
  <si>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</si>
  <si>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</si>
  <si>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</si>
  <si>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</si>
  <si>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</si>
  <si>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</si>
  <si>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</si>
  <si>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</si>
  <si>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</si>
  <si>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</si>
  <si>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</si>
  <si>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YEARS</t>
  </si>
  <si>
    <t>LTM</t>
  </si>
  <si>
    <t>#</t>
  </si>
  <si>
    <t>INCOME STATEMENT</t>
  </si>
  <si>
    <t>SALES</t>
  </si>
  <si>
    <t>SALES GROWTH</t>
  </si>
  <si>
    <t>-</t>
  </si>
  <si>
    <t>COGS</t>
  </si>
  <si>
    <t xml:space="preserve">COGS %OF SALES </t>
  </si>
  <si>
    <t>GROSS PROFIT</t>
  </si>
  <si>
    <t xml:space="preserve">SELLING AND GENERAL EXPENSES % OF SALES </t>
  </si>
  <si>
    <t>EBITDA</t>
  </si>
  <si>
    <t>INTEREST</t>
  </si>
  <si>
    <t>INTEREST % OF SALES</t>
  </si>
  <si>
    <t xml:space="preserve">DEPRECIATION </t>
  </si>
  <si>
    <t xml:space="preserve">DEPRECIATION % OF SALES </t>
  </si>
  <si>
    <t>EBITDA MARGIN</t>
  </si>
  <si>
    <t>EARNING BEFORE TAX</t>
  </si>
  <si>
    <t>EBT % OF SALES</t>
  </si>
  <si>
    <t>TAX</t>
  </si>
  <si>
    <t>EFFECTIVE TAX RATE</t>
  </si>
  <si>
    <t>NET PROFIT</t>
  </si>
  <si>
    <t>NET MARGINS</t>
  </si>
  <si>
    <t>NO. OF EQUITY SHARES</t>
  </si>
  <si>
    <t>EARNING PER SHARE</t>
  </si>
  <si>
    <t xml:space="preserve">DIVIDEND PER SHARE </t>
  </si>
  <si>
    <t>EPS GROWTH%</t>
  </si>
  <si>
    <t>DIVIDEND PAYOUT RATIO</t>
  </si>
  <si>
    <t>RETAINED EARNINGS</t>
  </si>
  <si>
    <r>
      <t>SELL</t>
    </r>
    <r>
      <rPr>
        <b/>
        <i/>
        <sz val="12"/>
        <color theme="1"/>
        <rFont val="Arial"/>
        <family val="2"/>
      </rPr>
      <t>ING AND GENERAL EXPENSES</t>
    </r>
  </si>
  <si>
    <t>BALANCESHEET</t>
  </si>
  <si>
    <t>TOTAL LIABILTIES</t>
  </si>
  <si>
    <t xml:space="preserve">FIXED ASSEST NET BLOCK </t>
  </si>
  <si>
    <t>CAPITAL WORK IN PROGRESS</t>
  </si>
  <si>
    <t>INVESTMENTS</t>
  </si>
  <si>
    <t>OTHER ASSESTS</t>
  </si>
  <si>
    <t>TOTAL NON CURRENT ASSESTS</t>
  </si>
  <si>
    <t>RECEIVABLES</t>
  </si>
  <si>
    <t>INVENTORY</t>
  </si>
  <si>
    <t>CASH AND BANK</t>
  </si>
  <si>
    <t>TOTAL CURRENT ASSETS</t>
  </si>
  <si>
    <t>TOTAL ASSETS</t>
  </si>
  <si>
    <t>CHECK</t>
  </si>
  <si>
    <t>Profit from operations</t>
  </si>
  <si>
    <t>Payables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</si>
  <si>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</si>
  <si>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</si>
  <si>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</si>
  <si>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</si>
  <si>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</si>
  <si>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</si>
  <si>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</si>
  <si>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</si>
  <si>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Other investing items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</si>
  <si>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</si>
  <si>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</si>
  <si>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</si>
  <si>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</si>
  <si>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</si>
  <si>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</si>
  <si>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Share application money</t>
  </si>
  <si>
    <t>Other financing items</t>
  </si>
  <si>
    <t>Free Cash Flow</t>
  </si>
  <si>
    <t>CFO/OP</t>
  </si>
  <si>
    <t>Cash from Operating Activity -</t>
  </si>
  <si>
    <t>Cash from Investing Activity -</t>
  </si>
  <si>
    <t>Cash from Financing Activity -</t>
  </si>
  <si>
    <t>CASH FLOW STATEMENT</t>
  </si>
  <si>
    <t>Operating activities</t>
  </si>
  <si>
    <t>Cash from Operating Activities</t>
  </si>
  <si>
    <t>INVESTING ACTIVITIES</t>
  </si>
  <si>
    <t>CASH FROM INVESTING ACTIVITIES</t>
  </si>
  <si>
    <t>FINANCING ACTIVITIES</t>
  </si>
  <si>
    <t>CASH FROM FINANCING ACTIVITIES</t>
  </si>
  <si>
    <t>NET CASH FLOW</t>
  </si>
  <si>
    <t>Gross Margin</t>
  </si>
  <si>
    <t>EBITDA Margin</t>
  </si>
  <si>
    <t>Dividend Growth</t>
  </si>
  <si>
    <t>EBT Margin</t>
  </si>
  <si>
    <t>Net Profit Margin</t>
  </si>
  <si>
    <t>Sales Expense % Sales</t>
  </si>
  <si>
    <t>Depreciation % Sales</t>
  </si>
  <si>
    <t>Operating Income % Sales</t>
  </si>
  <si>
    <t>Return on Capital Employed</t>
  </si>
  <si>
    <t>Return Earnings %</t>
  </si>
  <si>
    <t>Return on Equity %</t>
  </si>
  <si>
    <t>Self Sustained Growth Rate</t>
  </si>
  <si>
    <t>Interest Coverage Ratio</t>
  </si>
  <si>
    <t>EBIT Margin</t>
  </si>
  <si>
    <t>Debtor Turnover Ratio</t>
  </si>
  <si>
    <t>Creditor Turnover Ratio</t>
  </si>
  <si>
    <t>Inventory Turnover Ratio</t>
  </si>
  <si>
    <t>Fixed Asset Turnover</t>
  </si>
  <si>
    <t>Payable Days</t>
  </si>
  <si>
    <t>Inventory Days</t>
  </si>
  <si>
    <t>Cash Inversion Cycle</t>
  </si>
  <si>
    <t>CFO/Sales</t>
  </si>
  <si>
    <t>CFO/Total Assets</t>
  </si>
  <si>
    <t>CFO/Total Debt</t>
  </si>
  <si>
    <t>EBT Growth</t>
  </si>
  <si>
    <t xml:space="preserve"> </t>
  </si>
  <si>
    <t xml:space="preserve">                         -</t>
  </si>
  <si>
    <t xml:space="preserve"> –</t>
  </si>
  <si>
    <t>GROSS MARGIN</t>
  </si>
  <si>
    <t>NET Profit Growth</t>
  </si>
  <si>
    <t xml:space="preserve">Return On Asset </t>
  </si>
  <si>
    <t>EBIT vs Total Assets</t>
  </si>
  <si>
    <t>PAT vs Total Assets</t>
  </si>
  <si>
    <t>PATafter TAX Benefit vs Total Assets</t>
  </si>
  <si>
    <t>Return On Equity</t>
  </si>
  <si>
    <t>Cash Flow EPS</t>
  </si>
  <si>
    <t>DPS</t>
  </si>
  <si>
    <t>Dividend Payout Ratio</t>
  </si>
  <si>
    <t>Dividend Yield Ratio</t>
  </si>
  <si>
    <t>Capital Assets Turnover</t>
  </si>
  <si>
    <t>Mean</t>
  </si>
  <si>
    <t>Median</t>
  </si>
  <si>
    <t>Year Weight</t>
  </si>
  <si>
    <t>Year</t>
  </si>
  <si>
    <t>TREND</t>
  </si>
  <si>
    <t>Weighted Average Cost Of Capital</t>
  </si>
  <si>
    <t>All figures are in INR unless otherwise stated</t>
  </si>
  <si>
    <t>Name of the Comp</t>
  </si>
  <si>
    <t>Country</t>
  </si>
  <si>
    <t>Total Debt</t>
  </si>
  <si>
    <t>Total Equity</t>
  </si>
  <si>
    <t>Debt/</t>
  </si>
  <si>
    <t>Equity</t>
  </si>
  <si>
    <t>Capital</t>
  </si>
  <si>
    <t>Levered</t>
  </si>
  <si>
    <t>Unlevered</t>
  </si>
  <si>
    <r>
      <t>Beta</t>
    </r>
    <r>
      <rPr>
        <vertAlign val="superscript"/>
        <sz val="8"/>
        <color theme="1"/>
        <rFont val="Calibri"/>
        <family val="2"/>
      </rPr>
      <t xml:space="preserve"> </t>
    </r>
    <r>
      <rPr>
        <vertAlign val="superscript"/>
        <sz val="12"/>
        <color theme="1"/>
        <rFont val="Calibri"/>
        <family val="2"/>
      </rPr>
      <t>3</t>
    </r>
  </si>
  <si>
    <r>
      <t xml:space="preserve">Beta </t>
    </r>
    <r>
      <rPr>
        <vertAlign val="superscript"/>
        <sz val="12"/>
        <color theme="1"/>
        <rFont val="Calibri"/>
        <family val="2"/>
      </rPr>
      <t>2</t>
    </r>
  </si>
  <si>
    <t>Peer Comps</t>
  </si>
  <si>
    <t>Reliance  Industries</t>
  </si>
  <si>
    <t>Adani Enterprises Ltd</t>
  </si>
  <si>
    <t>ONGC (Oil and Natural Gas Corporation)</t>
  </si>
  <si>
    <t>Bharti Airtel Ltd.</t>
  </si>
  <si>
    <t>Avenue Supermarts (DMart)</t>
  </si>
  <si>
    <r>
      <t xml:space="preserve"> Tax Rate </t>
    </r>
    <r>
      <rPr>
        <vertAlign val="superscript"/>
        <sz val="12"/>
        <color theme="1"/>
        <rFont val="Calibri"/>
        <family val="2"/>
      </rPr>
      <t>1</t>
    </r>
  </si>
  <si>
    <t>India</t>
  </si>
  <si>
    <t>Average</t>
  </si>
  <si>
    <t>Cost Of Debt</t>
  </si>
  <si>
    <t>Pre Tax Cost Of Debt</t>
  </si>
  <si>
    <t>Tax Rate</t>
  </si>
  <si>
    <t>Post Tax Cost Of Debt</t>
  </si>
  <si>
    <t>Cost Of Equity</t>
  </si>
  <si>
    <t>Risk Free Rate</t>
  </si>
  <si>
    <t>Equity Risk Premium</t>
  </si>
  <si>
    <t>Levered Beta</t>
  </si>
  <si>
    <r>
      <t xml:space="preserve">Levered Beta </t>
    </r>
    <r>
      <rPr>
        <vertAlign val="superscript"/>
        <sz val="12"/>
        <color theme="1"/>
        <rFont val="Calibri"/>
        <family val="2"/>
      </rPr>
      <t>4</t>
    </r>
  </si>
  <si>
    <t>Current</t>
  </si>
  <si>
    <t>Target</t>
  </si>
  <si>
    <t>Market Captialization</t>
  </si>
  <si>
    <t>Total Capital</t>
  </si>
  <si>
    <t>Capital Structure</t>
  </si>
  <si>
    <t>Comps Beta Unlevered Beta</t>
  </si>
  <si>
    <t>Target Debt/Equity</t>
  </si>
  <si>
    <t>Debt/Equity</t>
  </si>
  <si>
    <t>Total Cost</t>
  </si>
  <si>
    <t>Total Weight</t>
  </si>
  <si>
    <t>Debt</t>
  </si>
  <si>
    <t>Weighted Average Cost of Capital</t>
  </si>
  <si>
    <t>Notes:</t>
  </si>
  <si>
    <t>1.Tax Rate considered as Marginal Tax Rate for the country</t>
  </si>
  <si>
    <t>2 .Levered Beta is based on 5 Year Monthly Data</t>
  </si>
  <si>
    <t>3. Unlevered Beta = Levered Beta /(1+ (1-Tax Rate )*Debt/Equity)</t>
  </si>
  <si>
    <t>4.Levered Beta = Unlevered Beta *(1+(1-Tax Rate)*Debt/Equity)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</si>
</sst>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6" formatCode="&quot;₹&quot;\ #,##0;[Red]&quot;₹&quot;\ \-#,##0"/>
    <numFmt numFmtId="7" formatCode="&quot;₹&quot;\ #,##0.00;&quot;₹&quot;\ \-#,##0.00"/>
    <numFmt numFmtId="8" formatCode="&quot;₹&quot;\ #,##0.00;[Red]&quot;₹&quot;\ \-#,##0.00"/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[$-409]mmm/yy;@"/>
    <numFmt numFmtId="167" formatCode="&quot;₹&quot;\ #,##0.00"/>
    <numFmt numFmtId="168" formatCode="0;\-0;&quot;-&quot;"/>
    <numFmt numFmtId="169" formatCode="0.00\x"/>
    <numFmt numFmtId="170" formatCode="0\ &quot;Days&quot;"/>
    <numFmt numFmtId="171" formatCode="0\ &quot;A&quot;"/>
    <numFmt numFmtId="172" formatCode="0\ &quot;E&quot;"/>
    <numFmt numFmtId="173" formatCode="#,##0.0;[Red]\-#,##0.0"/>
    <numFmt numFmtId="178" formatCode="#,##0.0"/>
    <numFmt numFmtId="184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Arial"/>
      <family val="2"/>
    </font>
    <font>
      <sz val="12"/>
      <color theme="0"/>
      <name val="Arial"/>
      <family val="2"/>
    </font>
    <font>
      <b/>
      <sz val="12"/>
      <color theme="1"/>
      <name val="Arial"/>
      <family val="2"/>
    </font>
    <font>
      <i/>
      <sz val="12"/>
      <color theme="3" tint="0.39997558519241921"/>
      <name val="Arial"/>
      <family val="2"/>
    </font>
    <font>
      <b/>
      <i/>
      <sz val="12"/>
      <color theme="1"/>
      <name val="Arial"/>
      <family val="2"/>
    </font>
    <font>
      <i/>
      <sz val="11"/>
      <color theme="1"/>
      <name val="Calibri"/>
      <family val="2"/>
    </font>
    <font>
      <vertAlign val="superscript"/>
      <sz val="8"/>
      <color theme="1"/>
      <name val="Calibri"/>
      <family val="2"/>
    </font>
    <font>
      <vertAlign val="superscript"/>
      <sz val="12"/>
      <color theme="1"/>
      <name val="Calibri"/>
      <family val="2"/>
    </font>
    <font>
      <i/>
      <sz val="11"/>
      <color theme="4" tint="-0.249977111117893"/>
      <name val="Calibri"/>
      <family val="2"/>
    </font>
    <font>
      <sz val="11"/>
      <color theme="4" tint="-0.249977111117893"/>
      <name val="Calibri"/>
      <family val="2"/>
      <scheme val="minor"/>
    </font>
    <font>
      <i/>
      <sz val="11"/>
      <color theme="4" tint="-0.249977111117893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/>
      <top style="thin">
        <color auto="1"/>
      </top>
      <bottom/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119">
    <xf numFmtId="0" fontId="0" fillId="0" borderId="0" xfId="0"/>
    <xf numFmtId="43" fontId="1" fillId="0" borderId="0" xfId="1" applyFont="1" applyBorder="1"/>
    <xf numFmtId="0" fontId="1" fillId="0" borderId="0" xfId="0" applyFont="1"/>
    <xf numFmtId="0" fontId="8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164" fontId="0" fillId="0" borderId="0" xfId="1" applyNumberFormat="1" applyFont="1" applyBorder="1"/>
    <xf numFmtId="0" fontId="0" fillId="6" borderId="0" xfId="0" applyFill="1"/>
    <xf numFmtId="0" fontId="10" fillId="0" borderId="0" xfId="0" applyFont="1"/>
    <xf numFmtId="0" fontId="11" fillId="7" borderId="0" xfId="0" applyFont="1" applyFill="1"/>
    <xf numFmtId="166" fontId="11" fillId="7" borderId="0" xfId="0" applyNumberFormat="1" applyFont="1" applyFill="1"/>
    <xf numFmtId="166" fontId="11" fillId="7" borderId="0" xfId="0" applyNumberFormat="1" applyFont="1" applyFill="1" applyAlignment="1">
      <alignment horizontal="center"/>
    </xf>
    <xf numFmtId="0" fontId="12" fillId="0" borderId="0" xfId="0" applyFont="1"/>
    <xf numFmtId="0" fontId="10" fillId="0" borderId="0" xfId="0" applyFont="1" applyAlignment="1">
      <alignment horizontal="right"/>
    </xf>
    <xf numFmtId="0" fontId="13" fillId="0" borderId="0" xfId="0" applyFont="1"/>
    <xf numFmtId="10" fontId="13" fillId="0" borderId="0" xfId="6" applyNumberFormat="1" applyFont="1"/>
    <xf numFmtId="9" fontId="13" fillId="0" borderId="0" xfId="6" applyFont="1"/>
    <xf numFmtId="40" fontId="10" fillId="0" borderId="0" xfId="0" applyNumberFormat="1" applyFont="1"/>
    <xf numFmtId="167" fontId="12" fillId="0" borderId="0" xfId="0" applyNumberFormat="1" applyFont="1"/>
    <xf numFmtId="10" fontId="12" fillId="0" borderId="0" xfId="6" applyNumberFormat="1" applyFont="1"/>
    <xf numFmtId="43" fontId="10" fillId="0" borderId="0" xfId="0" applyNumberFormat="1" applyFont="1"/>
    <xf numFmtId="7" fontId="10" fillId="0" borderId="0" xfId="0" applyNumberFormat="1" applyFont="1"/>
    <xf numFmtId="17" fontId="0" fillId="6" borderId="0" xfId="0" applyNumberFormat="1" applyFill="1"/>
    <xf numFmtId="3" fontId="0" fillId="6" borderId="0" xfId="0" applyNumberFormat="1" applyFill="1"/>
    <xf numFmtId="9" fontId="0" fillId="6" borderId="0" xfId="0" applyNumberFormat="1" applyFill="1"/>
    <xf numFmtId="0" fontId="12" fillId="8" borderId="0" xfId="0" applyFont="1" applyFill="1"/>
    <xf numFmtId="0" fontId="10" fillId="8" borderId="0" xfId="0" applyFont="1" applyFill="1"/>
    <xf numFmtId="3" fontId="10" fillId="0" borderId="0" xfId="0" applyNumberFormat="1" applyFont="1"/>
    <xf numFmtId="6" fontId="10" fillId="0" borderId="0" xfId="0" applyNumberFormat="1" applyFont="1"/>
    <xf numFmtId="8" fontId="10" fillId="0" borderId="0" xfId="0" applyNumberFormat="1" applyFont="1"/>
    <xf numFmtId="8" fontId="12" fillId="0" borderId="0" xfId="0" applyNumberFormat="1" applyFont="1"/>
    <xf numFmtId="0" fontId="11" fillId="6" borderId="0" xfId="0" applyFont="1" applyFill="1"/>
    <xf numFmtId="166" fontId="11" fillId="6" borderId="0" xfId="0" applyNumberFormat="1" applyFont="1" applyFill="1"/>
    <xf numFmtId="166" fontId="11" fillId="6" borderId="0" xfId="0" applyNumberFormat="1" applyFont="1" applyFill="1" applyAlignment="1">
      <alignment horizontal="center"/>
    </xf>
    <xf numFmtId="0" fontId="10" fillId="6" borderId="0" xfId="0" applyFont="1" applyFill="1"/>
    <xf numFmtId="0" fontId="5" fillId="7" borderId="0" xfId="0" applyFont="1" applyFill="1"/>
    <xf numFmtId="17" fontId="5" fillId="7" borderId="0" xfId="0" applyNumberFormat="1" applyFont="1" applyFill="1"/>
    <xf numFmtId="168" fontId="13" fillId="0" borderId="0" xfId="0" applyNumberFormat="1" applyFont="1" applyAlignment="1">
      <alignment horizontal="right"/>
    </xf>
    <xf numFmtId="167" fontId="12" fillId="0" borderId="0" xfId="0" applyNumberFormat="1" applyFont="1" applyAlignment="1">
      <alignment horizontal="right"/>
    </xf>
    <xf numFmtId="10" fontId="12" fillId="0" borderId="0" xfId="6" applyNumberFormat="1" applyFont="1" applyAlignment="1">
      <alignment horizontal="right"/>
    </xf>
    <xf numFmtId="10" fontId="0" fillId="0" borderId="0" xfId="6" applyNumberFormat="1" applyFont="1"/>
    <xf numFmtId="0" fontId="5" fillId="7" borderId="0" xfId="0" applyFont="1" applyFill="1" applyAlignment="1">
      <alignment horizontal="center"/>
    </xf>
    <xf numFmtId="8" fontId="0" fillId="0" borderId="0" xfId="0" applyNumberFormat="1"/>
    <xf numFmtId="0" fontId="0" fillId="0" borderId="1" xfId="0" applyBorder="1"/>
    <xf numFmtId="0" fontId="0" fillId="0" borderId="2" xfId="0" applyBorder="1"/>
    <xf numFmtId="10" fontId="0" fillId="0" borderId="0" xfId="6" applyNumberFormat="1" applyFont="1" applyBorder="1"/>
    <xf numFmtId="169" fontId="0" fillId="0" borderId="0" xfId="0" applyNumberFormat="1"/>
    <xf numFmtId="170" fontId="0" fillId="0" borderId="0" xfId="0" applyNumberFormat="1"/>
    <xf numFmtId="0" fontId="5" fillId="6" borderId="0" xfId="0" applyFont="1" applyFill="1"/>
    <xf numFmtId="169" fontId="0" fillId="0" borderId="0" xfId="6" applyNumberFormat="1" applyFont="1"/>
    <xf numFmtId="170" fontId="0" fillId="0" borderId="0" xfId="6" applyNumberFormat="1" applyFont="1"/>
    <xf numFmtId="8" fontId="0" fillId="0" borderId="0" xfId="6" applyNumberFormat="1" applyFont="1"/>
    <xf numFmtId="0" fontId="5" fillId="9" borderId="0" xfId="0" applyFont="1" applyFill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0" fontId="0" fillId="10" borderId="0" xfId="0" applyFill="1"/>
    <xf numFmtId="172" fontId="0" fillId="10" borderId="0" xfId="0" applyNumberFormat="1" applyFill="1"/>
    <xf numFmtId="173" fontId="0" fillId="10" borderId="0" xfId="0" applyNumberFormat="1" applyFill="1"/>
    <xf numFmtId="10" fontId="0" fillId="10" borderId="0" xfId="6" applyNumberFormat="1" applyFont="1" applyFill="1"/>
    <xf numFmtId="0" fontId="12" fillId="0" borderId="3" xfId="0" applyFont="1" applyBorder="1"/>
    <xf numFmtId="167" fontId="12" fillId="0" borderId="3" xfId="0" applyNumberFormat="1" applyFont="1" applyBorder="1"/>
    <xf numFmtId="10" fontId="0" fillId="0" borderId="0" xfId="0" applyNumberFormat="1" applyAlignment="1">
      <alignment horizontal="right"/>
    </xf>
    <xf numFmtId="0" fontId="5" fillId="6" borderId="1" xfId="0" applyFont="1" applyFill="1" applyBorder="1"/>
    <xf numFmtId="17" fontId="5" fillId="6" borderId="1" xfId="0" applyNumberFormat="1" applyFont="1" applyFill="1" applyBorder="1"/>
    <xf numFmtId="0" fontId="0" fillId="6" borderId="1" xfId="0" applyFill="1" applyBorder="1"/>
    <xf numFmtId="0" fontId="0" fillId="0" borderId="3" xfId="0" applyBorder="1"/>
    <xf numFmtId="10" fontId="0" fillId="0" borderId="3" xfId="6" applyNumberFormat="1" applyFont="1" applyBorder="1"/>
    <xf numFmtId="10" fontId="0" fillId="0" borderId="1" xfId="6" applyNumberFormat="1" applyFont="1" applyBorder="1"/>
    <xf numFmtId="10" fontId="0" fillId="0" borderId="2" xfId="6" applyNumberFormat="1" applyFont="1" applyBorder="1"/>
    <xf numFmtId="0" fontId="11" fillId="7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5" fillId="7" borderId="0" xfId="0" applyFont="1" applyFill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15" fillId="0" borderId="0" xfId="0" applyFont="1"/>
    <xf numFmtId="0" fontId="15" fillId="0" borderId="1" xfId="0" applyFont="1" applyBorder="1"/>
    <xf numFmtId="0" fontId="18" fillId="0" borderId="0" xfId="0" applyFont="1" applyFill="1" applyBorder="1"/>
    <xf numFmtId="0" fontId="19" fillId="0" borderId="0" xfId="0" applyFont="1"/>
    <xf numFmtId="178" fontId="19" fillId="0" borderId="0" xfId="0" applyNumberFormat="1" applyFont="1"/>
    <xf numFmtId="0" fontId="20" fillId="0" borderId="0" xfId="0" applyFont="1"/>
    <xf numFmtId="0" fontId="0" fillId="0" borderId="0" xfId="0" applyBorder="1"/>
    <xf numFmtId="10" fontId="0" fillId="11" borderId="0" xfId="6" applyNumberFormat="1" applyFont="1" applyFill="1"/>
    <xf numFmtId="184" fontId="0" fillId="0" borderId="0" xfId="0" applyNumberFormat="1"/>
    <xf numFmtId="0" fontId="1" fillId="0" borderId="4" xfId="0" applyFont="1" applyBorder="1"/>
    <xf numFmtId="0" fontId="0" fillId="0" borderId="4" xfId="0" applyBorder="1"/>
    <xf numFmtId="0" fontId="1" fillId="0" borderId="1" xfId="0" applyFont="1" applyBorder="1"/>
    <xf numFmtId="10" fontId="0" fillId="0" borderId="4" xfId="0" applyNumberFormat="1" applyBorder="1"/>
    <xf numFmtId="10" fontId="0" fillId="0" borderId="1" xfId="0" applyNumberFormat="1" applyBorder="1"/>
    <xf numFmtId="10" fontId="19" fillId="0" borderId="0" xfId="0" applyNumberFormat="1" applyFont="1"/>
    <xf numFmtId="10" fontId="0" fillId="0" borderId="4" xfId="6" applyNumberFormat="1" applyFont="1" applyBorder="1"/>
    <xf numFmtId="4" fontId="0" fillId="0" borderId="4" xfId="6" applyNumberFormat="1" applyFont="1" applyBorder="1"/>
    <xf numFmtId="4" fontId="0" fillId="0" borderId="1" xfId="6" applyNumberFormat="1" applyFont="1" applyBorder="1"/>
    <xf numFmtId="4" fontId="19" fillId="6" borderId="0" xfId="0" applyNumberFormat="1" applyFont="1" applyFill="1"/>
    <xf numFmtId="4" fontId="0" fillId="11" borderId="0" xfId="0" applyNumberFormat="1" applyFill="1"/>
    <xf numFmtId="4" fontId="0" fillId="0" borderId="0" xfId="0" applyNumberFormat="1"/>
    <xf numFmtId="184" fontId="0" fillId="0" borderId="4" xfId="0" applyNumberFormat="1" applyBorder="1"/>
    <xf numFmtId="10" fontId="0" fillId="11" borderId="4" xfId="0" applyNumberFormat="1" applyFill="1" applyBorder="1"/>
    <xf numFmtId="10" fontId="0" fillId="11" borderId="0" xfId="0" applyNumberFormat="1" applyFill="1"/>
    <xf numFmtId="10" fontId="0" fillId="11" borderId="4" xfId="6" applyNumberFormat="1" applyFont="1" applyFill="1" applyBorder="1"/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screener.in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85FA9-FC63-4E19-A553-6A4BF6FA2709}">
  <sheetPr>
    <tabColor rgb="FF92D050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C126A-2A27-4678-B430-0E99DABE387B}">
  <sheetPr>
    <tabColor rgb="FF00B050"/>
  </sheetPr>
  <dimension ref="A2:N101"/>
  <sheetViews>
    <sheetView showGridLines="0" zoomScale="58" zoomScaleNormal="58" workbookViewId="0">
      <pane ySplit="1" topLeftCell="A2" activePane="bottomLeft" state="frozen"/>
      <selection pane="bottomLeft" activeCell="O93" sqref="O93"/>
    </sheetView>
  </sheetViews>
  <sheetFormatPr defaultRowHeight="15" x14ac:dyDescent="0.25"/>
  <cols>
    <col min="1" max="1" width="2.21875" style="26" bestFit="1" customWidth="1"/>
    <col min="2" max="2" width="42.33203125" style="26" customWidth="1"/>
    <col min="3" max="5" width="16.5546875" style="26" bestFit="1" customWidth="1"/>
    <col min="6" max="6" width="34.44140625" style="26" bestFit="1" customWidth="1"/>
    <col min="7" max="7" width="17.21875" style="26" bestFit="1" customWidth="1"/>
    <col min="8" max="12" width="16.5546875" style="26" bestFit="1" customWidth="1"/>
    <col min="13" max="13" width="17.109375" style="26" bestFit="1" customWidth="1"/>
    <col min="14" max="16384" width="8.88671875" style="26"/>
  </cols>
  <sheetData>
    <row r="2" spans="1:14" x14ac:dyDescent="0.25">
      <c r="B2" s="88" t="str">
        <f xml:space="preserve"> "HISTORICAL FINANCIAL STATEMENT- "&amp;'Data Sheet'!B1</f>
        <v>HISTORICAL FINANCIAL STATEMENT- RELIANCE INDUSTRIES LTD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</row>
    <row r="3" spans="1:14" x14ac:dyDescent="0.25">
      <c r="B3" s="27" t="s">
        <v>93</v>
      </c>
      <c r="C3" s="28">
        <f>'Data Sheet'!B16</f>
        <v>42460</v>
      </c>
      <c r="D3" s="28">
        <f>'Data Sheet'!C16</f>
        <v>42825</v>
      </c>
      <c r="E3" s="28">
        <f>'Data Sheet'!D16</f>
        <v>43190</v>
      </c>
      <c r="F3" s="28">
        <f>'Data Sheet'!E16</f>
        <v>43555</v>
      </c>
      <c r="G3" s="28">
        <f>'Data Sheet'!F16</f>
        <v>43921</v>
      </c>
      <c r="H3" s="28">
        <f>'Data Sheet'!G16</f>
        <v>44286</v>
      </c>
      <c r="I3" s="28">
        <f>'Data Sheet'!H16</f>
        <v>44651</v>
      </c>
      <c r="J3" s="28">
        <f>'Data Sheet'!I16</f>
        <v>45016</v>
      </c>
      <c r="K3" s="28">
        <f>'Data Sheet'!J16</f>
        <v>45382</v>
      </c>
      <c r="L3" s="28">
        <f>'Data Sheet'!K16</f>
        <v>45747</v>
      </c>
      <c r="M3" s="29" t="s">
        <v>94</v>
      </c>
    </row>
    <row r="4" spans="1:14" x14ac:dyDescent="0.25">
      <c r="B4" s="49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</row>
    <row r="5" spans="1:14" ht="15.6" x14ac:dyDescent="0.3">
      <c r="A5" s="43" t="s">
        <v>95</v>
      </c>
      <c r="B5" s="43" t="s">
        <v>96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</row>
    <row r="6" spans="1:14" ht="15.6" x14ac:dyDescent="0.3">
      <c r="B6" s="30" t="s">
        <v>97</v>
      </c>
      <c r="C6" s="36">
        <f>'Data Sheet'!B17</f>
        <v>272583</v>
      </c>
      <c r="D6" s="36">
        <f>IFERROR('Data Sheet'!C17,0)</f>
        <v>303954</v>
      </c>
      <c r="E6" s="36">
        <f>IFERROR('Data Sheet'!D17,0)</f>
        <v>390823</v>
      </c>
      <c r="F6" s="36">
        <f>IFERROR('Data Sheet'!E17,0)</f>
        <v>568337</v>
      </c>
      <c r="G6" s="36">
        <f>IFERROR('Data Sheet'!F17,0)</f>
        <v>596679</v>
      </c>
      <c r="H6" s="36">
        <f>IFERROR('Data Sheet'!G17,0)</f>
        <v>466307</v>
      </c>
      <c r="I6" s="36">
        <f>IFERROR('Data Sheet'!H17,0)</f>
        <v>694673</v>
      </c>
      <c r="J6" s="36">
        <f>IFERROR('Data Sheet'!I17,0)</f>
        <v>876396</v>
      </c>
      <c r="K6" s="36">
        <f>IFERROR('Data Sheet'!J17,0)</f>
        <v>899041</v>
      </c>
      <c r="L6" s="36">
        <f>IFERROR('Data Sheet'!K17,0)</f>
        <v>962820</v>
      </c>
      <c r="M6" s="36">
        <f>IFERROR(SUM('Data Sheet'!H42:K42),0)</f>
        <v>1024548</v>
      </c>
    </row>
    <row r="7" spans="1:14" ht="15.6" x14ac:dyDescent="0.3">
      <c r="B7" s="32" t="s">
        <v>98</v>
      </c>
      <c r="C7" s="55" t="s">
        <v>193</v>
      </c>
      <c r="D7" s="33">
        <f>D6/C6-1</f>
        <v>0.11508788148930793</v>
      </c>
      <c r="E7" s="33">
        <f t="shared" ref="E7:M7" si="0">E6/D6-1</f>
        <v>0.28579653500200686</v>
      </c>
      <c r="F7" s="33">
        <f t="shared" si="0"/>
        <v>0.45420561225925793</v>
      </c>
      <c r="G7" s="33">
        <f t="shared" si="0"/>
        <v>4.9868299969912266E-2</v>
      </c>
      <c r="H7" s="33">
        <f t="shared" si="0"/>
        <v>-0.21849604226057895</v>
      </c>
      <c r="I7" s="33">
        <f t="shared" si="0"/>
        <v>0.48973315862725619</v>
      </c>
      <c r="J7" s="33">
        <f t="shared" si="0"/>
        <v>0.26159502384575184</v>
      </c>
      <c r="K7" s="33">
        <f t="shared" si="0"/>
        <v>2.5838776078393799E-2</v>
      </c>
      <c r="L7" s="33">
        <f t="shared" si="0"/>
        <v>7.0941147289167006E-2</v>
      </c>
      <c r="M7" s="33">
        <f t="shared" si="0"/>
        <v>6.4111671963607009E-2</v>
      </c>
    </row>
    <row r="9" spans="1:14" ht="15.6" x14ac:dyDescent="0.3">
      <c r="B9" s="30" t="s">
        <v>100</v>
      </c>
      <c r="C9" s="36">
        <f>IFERROR(SUM('Data Sheet'!B18,'Data Sheet'!B20,'Data Sheet'!B21,'Data Sheet'!B22)-1*'Data Sheet'!B19,0)</f>
        <v>215234</v>
      </c>
      <c r="D9" s="36">
        <f>IFERROR(SUM('Data Sheet'!C18,'Data Sheet'!C20,'Data Sheet'!C21,'Data Sheet'!C22)-1*'Data Sheet'!C19,0)</f>
        <v>241848</v>
      </c>
      <c r="E9" s="36">
        <f>IFERROR(SUM('Data Sheet'!D18,'Data Sheet'!D20,'Data Sheet'!D21,'Data Sheet'!D22)-1*'Data Sheet'!D19,0)</f>
        <v>301249</v>
      </c>
      <c r="F9" s="36">
        <f>IFERROR(SUM('Data Sheet'!E18,'Data Sheet'!E20,'Data Sheet'!E21,'Data Sheet'!E22)-1*'Data Sheet'!E19,0)</f>
        <v>436202</v>
      </c>
      <c r="G9" s="36">
        <f>IFERROR(SUM('Data Sheet'!F18,'Data Sheet'!F20,'Data Sheet'!F21,'Data Sheet'!F22)-1*'Data Sheet'!F19,0)</f>
        <v>445847</v>
      </c>
      <c r="H9" s="36">
        <f>IFERROR(SUM('Data Sheet'!G18,'Data Sheet'!G20,'Data Sheet'!G21,'Data Sheet'!G22)-1*'Data Sheet'!G19,0)</f>
        <v>328419</v>
      </c>
      <c r="I9" s="36">
        <f>IFERROR(SUM('Data Sheet'!H18,'Data Sheet'!H20,'Data Sheet'!H21,'Data Sheet'!H22)-1*'Data Sheet'!H19,0)</f>
        <v>521826</v>
      </c>
      <c r="J9" s="36">
        <f>IFERROR(SUM('Data Sheet'!I18,'Data Sheet'!I20,'Data Sheet'!I21,'Data Sheet'!I22)-1*'Data Sheet'!I19,0)</f>
        <v>658075</v>
      </c>
      <c r="K9" s="36">
        <f>IFERROR(SUM('Data Sheet'!J18,'Data Sheet'!J20,'Data Sheet'!J21,'Data Sheet'!J22)-1*'Data Sheet'!J19,0)</f>
        <v>651435</v>
      </c>
      <c r="L9" s="36">
        <f>IFERROR(SUM('Data Sheet'!K18,'Data Sheet'!K20,'Data Sheet'!K21,'Data Sheet'!K22)-1*'Data Sheet'!K19,0)</f>
        <v>700429</v>
      </c>
      <c r="M9" s="36">
        <f>IFERROR(SUM('Data Sheet'!H43:K43),0)</f>
        <v>845908</v>
      </c>
    </row>
    <row r="10" spans="1:14" ht="15.6" x14ac:dyDescent="0.3">
      <c r="B10" s="32" t="s">
        <v>101</v>
      </c>
      <c r="C10" s="33">
        <f>C9/C6</f>
        <v>0.789609036513649</v>
      </c>
      <c r="D10" s="33">
        <f t="shared" ref="D10:M10" si="1">D9/D6</f>
        <v>0.79567302947156482</v>
      </c>
      <c r="E10" s="33">
        <f t="shared" si="1"/>
        <v>0.77080673348293216</v>
      </c>
      <c r="F10" s="33">
        <f t="shared" si="1"/>
        <v>0.76750589878892272</v>
      </c>
      <c r="G10" s="33">
        <f t="shared" si="1"/>
        <v>0.7472141637295765</v>
      </c>
      <c r="H10" s="33">
        <f t="shared" si="1"/>
        <v>0.70429781238540279</v>
      </c>
      <c r="I10" s="33">
        <f t="shared" si="1"/>
        <v>0.75118221091074511</v>
      </c>
      <c r="J10" s="33">
        <f t="shared" si="1"/>
        <v>0.75088772655283686</v>
      </c>
      <c r="K10" s="33">
        <f t="shared" si="1"/>
        <v>0.72458875624137276</v>
      </c>
      <c r="L10" s="33">
        <f t="shared" si="1"/>
        <v>0.72747657921522191</v>
      </c>
      <c r="M10" s="33">
        <f t="shared" si="1"/>
        <v>0.82564018474488265</v>
      </c>
    </row>
    <row r="11" spans="1:14" x14ac:dyDescent="0.25">
      <c r="K11" s="31"/>
    </row>
    <row r="12" spans="1:14" ht="15.6" x14ac:dyDescent="0.3">
      <c r="B12" s="78" t="s">
        <v>102</v>
      </c>
      <c r="C12" s="78">
        <f t="shared" ref="C12:M12" si="2">C6-C9</f>
        <v>57349</v>
      </c>
      <c r="D12" s="78">
        <f t="shared" si="2"/>
        <v>62106</v>
      </c>
      <c r="E12" s="78">
        <f t="shared" si="2"/>
        <v>89574</v>
      </c>
      <c r="F12" s="78">
        <f t="shared" si="2"/>
        <v>132135</v>
      </c>
      <c r="G12" s="78">
        <f t="shared" si="2"/>
        <v>150832</v>
      </c>
      <c r="H12" s="78">
        <f t="shared" si="2"/>
        <v>137888</v>
      </c>
      <c r="I12" s="78">
        <f t="shared" si="2"/>
        <v>172847</v>
      </c>
      <c r="J12" s="78">
        <f t="shared" si="2"/>
        <v>218321</v>
      </c>
      <c r="K12" s="78">
        <f t="shared" si="2"/>
        <v>247606</v>
      </c>
      <c r="L12" s="78">
        <f t="shared" si="2"/>
        <v>262391</v>
      </c>
      <c r="M12" s="78">
        <f t="shared" si="2"/>
        <v>178640</v>
      </c>
    </row>
    <row r="13" spans="1:14" ht="15.6" x14ac:dyDescent="0.3">
      <c r="B13" s="32" t="s">
        <v>196</v>
      </c>
      <c r="C13" s="33">
        <f>C12/C6</f>
        <v>0.21039096348635095</v>
      </c>
      <c r="D13" s="33">
        <f t="shared" ref="D13:M13" si="3">D12/D6</f>
        <v>0.20432697052843524</v>
      </c>
      <c r="E13" s="33">
        <f t="shared" si="3"/>
        <v>0.22919326651706784</v>
      </c>
      <c r="F13" s="33">
        <f t="shared" si="3"/>
        <v>0.23249410121107722</v>
      </c>
      <c r="G13" s="33">
        <f t="shared" si="3"/>
        <v>0.25278583627042345</v>
      </c>
      <c r="H13" s="33">
        <f t="shared" si="3"/>
        <v>0.29570218761459727</v>
      </c>
      <c r="I13" s="33">
        <f t="shared" si="3"/>
        <v>0.24881778908925495</v>
      </c>
      <c r="J13" s="33">
        <f t="shared" si="3"/>
        <v>0.24911227344716316</v>
      </c>
      <c r="K13" s="33">
        <f t="shared" si="3"/>
        <v>0.27541124375862724</v>
      </c>
      <c r="L13" s="33">
        <f t="shared" si="3"/>
        <v>0.27252342078477804</v>
      </c>
      <c r="M13" s="33">
        <f t="shared" si="3"/>
        <v>0.17435981525511737</v>
      </c>
    </row>
    <row r="15" spans="1:14" ht="15.6" x14ac:dyDescent="0.3">
      <c r="B15" s="30" t="s">
        <v>122</v>
      </c>
      <c r="C15" s="36">
        <f>IFERROR(SUM('Data Sheet'!B23,'Data Sheet'!B24),0)</f>
        <v>15568</v>
      </c>
      <c r="D15" s="36">
        <f>IFERROR(SUM('Data Sheet'!C23,'Data Sheet'!C24),0)</f>
        <v>15799</v>
      </c>
      <c r="E15" s="36">
        <f>IFERROR(SUM('Data Sheet'!D23,'Data Sheet'!D24),0)</f>
        <v>25259</v>
      </c>
      <c r="F15" s="36">
        <f>IFERROR(SUM('Data Sheet'!E23,'Data Sheet'!E24),0)</f>
        <v>47885</v>
      </c>
      <c r="G15" s="36">
        <f>IFERROR(SUM('Data Sheet'!F23,'Data Sheet'!F24),0)</f>
        <v>61566</v>
      </c>
      <c r="H15" s="36">
        <f>IFERROR(SUM('Data Sheet'!G23,'Data Sheet'!G24),0)</f>
        <v>57098</v>
      </c>
      <c r="I15" s="36">
        <f>IFERROR(SUM('Data Sheet'!H23,'Data Sheet'!H24),0)</f>
        <v>64266</v>
      </c>
      <c r="J15" s="36">
        <f>IFERROR(SUM('Data Sheet'!I23,'Data Sheet'!I24),0)</f>
        <v>76003</v>
      </c>
      <c r="K15" s="36">
        <f>IFERROR(SUM('Data Sheet'!J23,'Data Sheet'!J24),0)</f>
        <v>85108</v>
      </c>
      <c r="L15" s="36">
        <f>IFERROR(SUM('Data Sheet'!K23,'Data Sheet'!K24),0)</f>
        <v>96793</v>
      </c>
      <c r="M15" s="36"/>
    </row>
    <row r="16" spans="1:14" ht="15.6" x14ac:dyDescent="0.3">
      <c r="B16" s="32" t="s">
        <v>103</v>
      </c>
      <c r="C16" s="33">
        <f t="shared" ref="C16:M16" si="4">C15/C6</f>
        <v>5.7112879379858615E-2</v>
      </c>
      <c r="D16" s="33">
        <f t="shared" si="4"/>
        <v>5.1978259868269538E-2</v>
      </c>
      <c r="E16" s="33">
        <f t="shared" si="4"/>
        <v>6.4630280203570409E-2</v>
      </c>
      <c r="F16" s="33">
        <f t="shared" si="4"/>
        <v>8.425458838681979E-2</v>
      </c>
      <c r="G16" s="33">
        <f t="shared" si="4"/>
        <v>0.10318110742962296</v>
      </c>
      <c r="H16" s="33">
        <f t="shared" si="4"/>
        <v>0.12244722897147159</v>
      </c>
      <c r="I16" s="33">
        <f t="shared" si="4"/>
        <v>9.2512592255636822E-2</v>
      </c>
      <c r="J16" s="33">
        <f t="shared" si="4"/>
        <v>8.6722212333237486E-2</v>
      </c>
      <c r="K16" s="33">
        <f t="shared" si="4"/>
        <v>9.4665315597397673E-2</v>
      </c>
      <c r="L16" s="33">
        <f t="shared" si="4"/>
        <v>0.10053073263953802</v>
      </c>
      <c r="M16" s="33">
        <f t="shared" si="4"/>
        <v>0</v>
      </c>
    </row>
    <row r="18" spans="2:14" ht="15.6" x14ac:dyDescent="0.3">
      <c r="B18" s="78" t="s">
        <v>104</v>
      </c>
      <c r="C18" s="79">
        <f>C12-C15</f>
        <v>41781</v>
      </c>
      <c r="D18" s="79">
        <f t="shared" ref="D18:M18" si="5">D12-D15</f>
        <v>46307</v>
      </c>
      <c r="E18" s="79">
        <f t="shared" si="5"/>
        <v>64315</v>
      </c>
      <c r="F18" s="79">
        <f t="shared" si="5"/>
        <v>84250</v>
      </c>
      <c r="G18" s="79">
        <f t="shared" si="5"/>
        <v>89266</v>
      </c>
      <c r="H18" s="79">
        <f t="shared" si="5"/>
        <v>80790</v>
      </c>
      <c r="I18" s="79">
        <f t="shared" si="5"/>
        <v>108581</v>
      </c>
      <c r="J18" s="79">
        <f t="shared" si="5"/>
        <v>142318</v>
      </c>
      <c r="K18" s="79">
        <f t="shared" si="5"/>
        <v>162498</v>
      </c>
      <c r="L18" s="79">
        <f t="shared" si="5"/>
        <v>165598</v>
      </c>
      <c r="M18" s="79">
        <f t="shared" si="5"/>
        <v>178640</v>
      </c>
    </row>
    <row r="19" spans="2:14" ht="15.6" x14ac:dyDescent="0.3">
      <c r="B19" s="32" t="s">
        <v>109</v>
      </c>
      <c r="C19" s="33">
        <f t="shared" ref="C19:M19" si="6">C18/C6</f>
        <v>0.15327808410649232</v>
      </c>
      <c r="D19" s="33">
        <f t="shared" si="6"/>
        <v>0.15234871066016567</v>
      </c>
      <c r="E19" s="33">
        <f t="shared" si="6"/>
        <v>0.16456298631349742</v>
      </c>
      <c r="F19" s="33">
        <f t="shared" si="6"/>
        <v>0.14823951282425743</v>
      </c>
      <c r="G19" s="33">
        <f t="shared" si="6"/>
        <v>0.1496047288408005</v>
      </c>
      <c r="H19" s="33">
        <f t="shared" si="6"/>
        <v>0.17325495864312568</v>
      </c>
      <c r="I19" s="33">
        <f t="shared" si="6"/>
        <v>0.15630519683361813</v>
      </c>
      <c r="J19" s="33">
        <f t="shared" si="6"/>
        <v>0.16239006111392568</v>
      </c>
      <c r="K19" s="33">
        <f t="shared" si="6"/>
        <v>0.18074592816122959</v>
      </c>
      <c r="L19" s="33">
        <f t="shared" si="6"/>
        <v>0.17199268814524002</v>
      </c>
      <c r="M19" s="33">
        <f t="shared" si="6"/>
        <v>0.17435981525511737</v>
      </c>
    </row>
    <row r="21" spans="2:14" ht="15.6" x14ac:dyDescent="0.3">
      <c r="B21" s="30" t="s">
        <v>105</v>
      </c>
      <c r="C21" s="36">
        <f>'Data Sheet'!B27</f>
        <v>3691</v>
      </c>
      <c r="D21" s="36">
        <f>'Data Sheet'!C27</f>
        <v>3849</v>
      </c>
      <c r="E21" s="36">
        <f>'Data Sheet'!D27</f>
        <v>8052</v>
      </c>
      <c r="F21" s="36">
        <f>'Data Sheet'!E27</f>
        <v>16495</v>
      </c>
      <c r="G21" s="36">
        <f>'Data Sheet'!F27</f>
        <v>22027</v>
      </c>
      <c r="H21" s="36">
        <f>'Data Sheet'!G27</f>
        <v>21189</v>
      </c>
      <c r="I21" s="36">
        <f>'Data Sheet'!H27</f>
        <v>14584</v>
      </c>
      <c r="J21" s="36">
        <f>'Data Sheet'!I27</f>
        <v>19571</v>
      </c>
      <c r="K21" s="36">
        <f>'Data Sheet'!J27</f>
        <v>23118</v>
      </c>
      <c r="L21" s="36">
        <f>'Data Sheet'!K27</f>
        <v>24269</v>
      </c>
      <c r="M21" s="36">
        <f>IFERROR(SUM('Data Sheet'!H46:K46),0)</f>
        <v>26631</v>
      </c>
    </row>
    <row r="22" spans="2:14" ht="15.6" x14ac:dyDescent="0.3">
      <c r="B22" s="34" t="s">
        <v>106</v>
      </c>
      <c r="C22" s="33">
        <f>C21/C6</f>
        <v>1.3540829765612676E-2</v>
      </c>
      <c r="D22" s="33">
        <f t="shared" ref="D22:L22" si="7">D21/D6</f>
        <v>1.2663100337551077E-2</v>
      </c>
      <c r="E22" s="33">
        <f t="shared" si="7"/>
        <v>2.0602676915125261E-2</v>
      </c>
      <c r="F22" s="33">
        <f t="shared" si="7"/>
        <v>2.902327316363355E-2</v>
      </c>
      <c r="G22" s="33">
        <f t="shared" si="7"/>
        <v>3.6915996708447925E-2</v>
      </c>
      <c r="H22" s="33">
        <f t="shared" si="7"/>
        <v>4.5440021273538675E-2</v>
      </c>
      <c r="I22" s="33">
        <f t="shared" si="7"/>
        <v>2.0994050438119805E-2</v>
      </c>
      <c r="J22" s="33">
        <f t="shared" si="7"/>
        <v>2.2331229261657971E-2</v>
      </c>
      <c r="K22" s="33">
        <f t="shared" si="7"/>
        <v>2.5714066433010285E-2</v>
      </c>
      <c r="L22" s="33">
        <f t="shared" si="7"/>
        <v>2.5206165222990799E-2</v>
      </c>
      <c r="M22" s="33">
        <f>M21/M6</f>
        <v>2.5992925660876798E-2</v>
      </c>
    </row>
    <row r="24" spans="2:14" ht="15.6" x14ac:dyDescent="0.3">
      <c r="B24" s="30" t="s">
        <v>107</v>
      </c>
      <c r="C24" s="36">
        <f>'Data Sheet'!B26</f>
        <v>11565</v>
      </c>
      <c r="D24" s="36">
        <f>'Data Sheet'!C26</f>
        <v>11646</v>
      </c>
      <c r="E24" s="36">
        <f>'Data Sheet'!D26</f>
        <v>16706</v>
      </c>
      <c r="F24" s="36">
        <f>'Data Sheet'!E26</f>
        <v>20934</v>
      </c>
      <c r="G24" s="36">
        <f>'Data Sheet'!F26</f>
        <v>22203</v>
      </c>
      <c r="H24" s="36">
        <f>'Data Sheet'!G26</f>
        <v>26572</v>
      </c>
      <c r="I24" s="36">
        <f>'Data Sheet'!H26</f>
        <v>29782</v>
      </c>
      <c r="J24" s="36">
        <f>'Data Sheet'!I26</f>
        <v>40303</v>
      </c>
      <c r="K24" s="36">
        <f>'Data Sheet'!J26</f>
        <v>50832</v>
      </c>
      <c r="L24" s="36">
        <f>'Data Sheet'!K26</f>
        <v>53136</v>
      </c>
      <c r="M24" s="36">
        <f>IFERROR(SUM('Data Sheet'!H45:K45),0)</f>
        <v>56359</v>
      </c>
    </row>
    <row r="25" spans="2:14" ht="15.6" x14ac:dyDescent="0.3">
      <c r="B25" s="32" t="s">
        <v>108</v>
      </c>
      <c r="C25" s="33">
        <f>C24/C6</f>
        <v>4.242744411793839E-2</v>
      </c>
      <c r="D25" s="33">
        <f t="shared" ref="D25:M25" si="8">D24/D6</f>
        <v>3.8315008192029057E-2</v>
      </c>
      <c r="E25" s="33">
        <f t="shared" si="8"/>
        <v>4.2745693063100179E-2</v>
      </c>
      <c r="F25" s="33">
        <f t="shared" si="8"/>
        <v>3.6833779958017863E-2</v>
      </c>
      <c r="G25" s="33">
        <f t="shared" si="8"/>
        <v>3.721096267842508E-2</v>
      </c>
      <c r="H25" s="33">
        <f t="shared" si="8"/>
        <v>5.6983918319905125E-2</v>
      </c>
      <c r="I25" s="33">
        <f t="shared" si="8"/>
        <v>4.2871969977241089E-2</v>
      </c>
      <c r="J25" s="33">
        <f t="shared" si="8"/>
        <v>4.5987202132369384E-2</v>
      </c>
      <c r="K25" s="33">
        <f t="shared" si="8"/>
        <v>5.6540246774062587E-2</v>
      </c>
      <c r="L25" s="33">
        <f t="shared" si="8"/>
        <v>5.5187885586090855E-2</v>
      </c>
      <c r="M25" s="33">
        <f t="shared" si="8"/>
        <v>5.5008647715870801E-2</v>
      </c>
    </row>
    <row r="27" spans="2:14" ht="15.6" x14ac:dyDescent="0.3">
      <c r="B27" s="78" t="s">
        <v>110</v>
      </c>
      <c r="C27" s="78">
        <f>IFERROR(C18-SUM(C21,C24),0)</f>
        <v>26525</v>
      </c>
      <c r="D27" s="78">
        <f t="shared" ref="D27:M27" si="9">IFERROR(D18-SUM(D21,D24),0)</f>
        <v>30812</v>
      </c>
      <c r="E27" s="78">
        <f t="shared" si="9"/>
        <v>39557</v>
      </c>
      <c r="F27" s="78">
        <f t="shared" si="9"/>
        <v>46821</v>
      </c>
      <c r="G27" s="78">
        <f t="shared" si="9"/>
        <v>45036</v>
      </c>
      <c r="H27" s="78">
        <f t="shared" si="9"/>
        <v>33029</v>
      </c>
      <c r="I27" s="78">
        <f t="shared" si="9"/>
        <v>64215</v>
      </c>
      <c r="J27" s="78">
        <f t="shared" si="9"/>
        <v>82444</v>
      </c>
      <c r="K27" s="78">
        <f t="shared" si="9"/>
        <v>88548</v>
      </c>
      <c r="L27" s="78">
        <f t="shared" si="9"/>
        <v>88193</v>
      </c>
      <c r="M27" s="78">
        <f t="shared" si="9"/>
        <v>95650</v>
      </c>
    </row>
    <row r="28" spans="2:14" ht="15.6" x14ac:dyDescent="0.3">
      <c r="B28" s="33" t="s">
        <v>111</v>
      </c>
      <c r="C28" s="33">
        <f>C27/C6</f>
        <v>9.7309810222941273E-2</v>
      </c>
      <c r="D28" s="33">
        <f t="shared" ref="D28:M28" si="10">D27/D6</f>
        <v>0.10137060213058555</v>
      </c>
      <c r="E28" s="33">
        <f t="shared" si="10"/>
        <v>0.10121461633527198</v>
      </c>
      <c r="F28" s="33">
        <f t="shared" si="10"/>
        <v>8.238245970260602E-2</v>
      </c>
      <c r="G28" s="33">
        <f t="shared" si="10"/>
        <v>7.5477769453927493E-2</v>
      </c>
      <c r="H28" s="33">
        <f t="shared" si="10"/>
        <v>7.0831019049681865E-2</v>
      </c>
      <c r="I28" s="33">
        <f t="shared" si="10"/>
        <v>9.2439176418257218E-2</v>
      </c>
      <c r="J28" s="33">
        <f t="shared" si="10"/>
        <v>9.4071629719898311E-2</v>
      </c>
      <c r="K28" s="33">
        <f t="shared" si="10"/>
        <v>9.8491614954156703E-2</v>
      </c>
      <c r="L28" s="33">
        <f t="shared" si="10"/>
        <v>9.1598637336158362E-2</v>
      </c>
      <c r="M28" s="33">
        <f t="shared" si="10"/>
        <v>9.3358241878369774E-2</v>
      </c>
      <c r="N28" s="33"/>
    </row>
    <row r="30" spans="2:14" ht="15.6" x14ac:dyDescent="0.3">
      <c r="B30" s="30" t="s">
        <v>112</v>
      </c>
      <c r="C30" s="36">
        <f>IFERROR('Data Sheet'!B29,0)</f>
        <v>8876</v>
      </c>
      <c r="D30" s="36">
        <f>IFERROR('Data Sheet'!C29,0)</f>
        <v>10201</v>
      </c>
      <c r="E30" s="36">
        <f>IFERROR('Data Sheet'!D29,0)</f>
        <v>13346</v>
      </c>
      <c r="F30" s="36">
        <f>IFERROR('Data Sheet'!E29,0)</f>
        <v>15390</v>
      </c>
      <c r="G30" s="36">
        <f>IFERROR('Data Sheet'!F29,0)</f>
        <v>13726</v>
      </c>
      <c r="H30" s="36">
        <f>IFERROR('Data Sheet'!G29,0)</f>
        <v>1722</v>
      </c>
      <c r="I30" s="36">
        <f>IFERROR('Data Sheet'!H29,0)</f>
        <v>15970</v>
      </c>
      <c r="J30" s="36">
        <f>IFERROR('Data Sheet'!I29,0)</f>
        <v>20376</v>
      </c>
      <c r="K30" s="36">
        <f>IFERROR('Data Sheet'!J29,0)</f>
        <v>25707</v>
      </c>
      <c r="L30" s="36">
        <f>IFERROR('Data Sheet'!K29,0)</f>
        <v>25230</v>
      </c>
      <c r="M30" s="36">
        <f>IFERROR(SUM('Data Sheet'!H48:K48),0)</f>
        <v>27642</v>
      </c>
    </row>
    <row r="31" spans="2:14" ht="15.6" x14ac:dyDescent="0.3">
      <c r="B31" s="33" t="s">
        <v>113</v>
      </c>
      <c r="C31" s="33">
        <f>C30/C27</f>
        <v>0.3346277097078228</v>
      </c>
      <c r="D31" s="33">
        <f t="shared" ref="D31:M31" si="11">D30/D27</f>
        <v>0.33107230948980915</v>
      </c>
      <c r="E31" s="33">
        <f t="shared" si="11"/>
        <v>0.33738655610890611</v>
      </c>
      <c r="F31" s="33">
        <f t="shared" si="11"/>
        <v>0.32869866085730765</v>
      </c>
      <c r="G31" s="33">
        <f t="shared" si="11"/>
        <v>0.30477839950262015</v>
      </c>
      <c r="H31" s="33">
        <f t="shared" si="11"/>
        <v>5.2136001695479731E-2</v>
      </c>
      <c r="I31" s="33">
        <f t="shared" si="11"/>
        <v>0.24869578758856964</v>
      </c>
      <c r="J31" s="33">
        <f t="shared" si="11"/>
        <v>0.24714958032118772</v>
      </c>
      <c r="K31" s="33">
        <f t="shared" si="11"/>
        <v>0.2903171161403984</v>
      </c>
      <c r="L31" s="33">
        <f t="shared" si="11"/>
        <v>0.28607712630254101</v>
      </c>
      <c r="M31" s="33">
        <f t="shared" si="11"/>
        <v>0.28899111343439626</v>
      </c>
    </row>
    <row r="33" spans="1:14" ht="15.6" x14ac:dyDescent="0.3">
      <c r="B33" s="78" t="s">
        <v>114</v>
      </c>
      <c r="C33" s="78">
        <f>C27-C30</f>
        <v>17649</v>
      </c>
      <c r="D33" s="78">
        <f t="shared" ref="D33:M33" si="12">D27-D30</f>
        <v>20611</v>
      </c>
      <c r="E33" s="78">
        <f t="shared" si="12"/>
        <v>26211</v>
      </c>
      <c r="F33" s="78">
        <f t="shared" si="12"/>
        <v>31431</v>
      </c>
      <c r="G33" s="78">
        <f t="shared" si="12"/>
        <v>31310</v>
      </c>
      <c r="H33" s="78">
        <f t="shared" si="12"/>
        <v>31307</v>
      </c>
      <c r="I33" s="78">
        <f t="shared" si="12"/>
        <v>48245</v>
      </c>
      <c r="J33" s="78">
        <f t="shared" si="12"/>
        <v>62068</v>
      </c>
      <c r="K33" s="78">
        <f t="shared" si="12"/>
        <v>62841</v>
      </c>
      <c r="L33" s="78">
        <f t="shared" si="12"/>
        <v>62963</v>
      </c>
      <c r="M33" s="78">
        <f t="shared" si="12"/>
        <v>68008</v>
      </c>
    </row>
    <row r="34" spans="1:14" ht="15.6" x14ac:dyDescent="0.3">
      <c r="B34" s="33" t="s">
        <v>115</v>
      </c>
      <c r="C34" s="33">
        <f>C33/C6</f>
        <v>6.4747251295935546E-2</v>
      </c>
      <c r="D34" s="33">
        <f t="shared" ref="D34:M34" si="13">D33/D6</f>
        <v>6.7809602768840016E-2</v>
      </c>
      <c r="E34" s="33">
        <f t="shared" si="13"/>
        <v>6.7066165502030331E-2</v>
      </c>
      <c r="F34" s="33">
        <f t="shared" si="13"/>
        <v>5.5303455520228313E-2</v>
      </c>
      <c r="G34" s="33">
        <f t="shared" si="13"/>
        <v>5.247377568173172E-2</v>
      </c>
      <c r="H34" s="33">
        <f t="shared" si="13"/>
        <v>6.7138172920415087E-2</v>
      </c>
      <c r="I34" s="33">
        <f t="shared" si="13"/>
        <v>6.944994263488001E-2</v>
      </c>
      <c r="J34" s="33">
        <f t="shared" si="13"/>
        <v>7.0821865914495269E-2</v>
      </c>
      <c r="K34" s="33">
        <f t="shared" si="13"/>
        <v>6.9897813336655387E-2</v>
      </c>
      <c r="L34" s="33">
        <f t="shared" si="13"/>
        <v>6.5394362393801544E-2</v>
      </c>
      <c r="M34" s="33">
        <f t="shared" si="13"/>
        <v>6.6378539609662016E-2</v>
      </c>
    </row>
    <row r="36" spans="1:14" ht="15.6" x14ac:dyDescent="0.3">
      <c r="B36" s="30" t="s">
        <v>116</v>
      </c>
      <c r="C36" s="30">
        <f>'Data Sheet'!B93</f>
        <v>1382.58</v>
      </c>
      <c r="D36" s="30">
        <f>'Data Sheet'!C93</f>
        <v>1387.22</v>
      </c>
      <c r="E36" s="30">
        <f>'Data Sheet'!D93</f>
        <v>1351.39</v>
      </c>
      <c r="F36" s="30">
        <f>'Data Sheet'!E93</f>
        <v>1352.26</v>
      </c>
      <c r="G36" s="30">
        <f>'Data Sheet'!F93</f>
        <v>1352.37</v>
      </c>
      <c r="H36" s="30">
        <f>'Data Sheet'!G93</f>
        <v>1267.8900000000001</v>
      </c>
      <c r="I36" s="30">
        <f>'Data Sheet'!H93</f>
        <v>1352.98</v>
      </c>
      <c r="J36" s="30">
        <f>'Data Sheet'!I93</f>
        <v>1353.12</v>
      </c>
      <c r="K36" s="30">
        <f>'Data Sheet'!J93</f>
        <v>1353.14</v>
      </c>
      <c r="L36" s="30">
        <f>'Data Sheet'!K93</f>
        <v>1353.24</v>
      </c>
      <c r="M36" s="30" t="s">
        <v>194</v>
      </c>
    </row>
    <row r="39" spans="1:14" ht="15.6" x14ac:dyDescent="0.3">
      <c r="B39" s="30" t="s">
        <v>117</v>
      </c>
      <c r="C39" s="36">
        <f>IFERROR(C33/C36,0)</f>
        <v>12.765264939461009</v>
      </c>
      <c r="D39" s="36">
        <f t="shared" ref="D39:L39" si="14">IFERROR(D33/D36,0)</f>
        <v>14.857773100157148</v>
      </c>
      <c r="E39" s="36">
        <f t="shared" si="14"/>
        <v>19.395585286260811</v>
      </c>
      <c r="F39" s="36">
        <f t="shared" si="14"/>
        <v>23.243311197550767</v>
      </c>
      <c r="G39" s="36">
        <f t="shared" si="14"/>
        <v>23.151948061551206</v>
      </c>
      <c r="H39" s="36">
        <f t="shared" si="14"/>
        <v>24.692205159753605</v>
      </c>
      <c r="I39" s="36">
        <f t="shared" si="14"/>
        <v>35.658324587207495</v>
      </c>
      <c r="J39" s="36">
        <f t="shared" si="14"/>
        <v>45.870284971029918</v>
      </c>
      <c r="K39" s="36">
        <f t="shared" si="14"/>
        <v>46.440870863325301</v>
      </c>
      <c r="L39" s="36">
        <f t="shared" si="14"/>
        <v>46.527593035972927</v>
      </c>
      <c r="M39" s="56" t="s">
        <v>99</v>
      </c>
    </row>
    <row r="40" spans="1:14" ht="15.6" x14ac:dyDescent="0.3">
      <c r="B40" s="33" t="s">
        <v>119</v>
      </c>
      <c r="C40" s="33"/>
      <c r="D40" s="33">
        <f>IFERROR(D39/C39-1,0)</f>
        <v>0.16392203143607387</v>
      </c>
      <c r="E40" s="33">
        <f t="shared" ref="E40:L40" si="15">IFERROR(E39/D39-1,0)</f>
        <v>0.30541671053353658</v>
      </c>
      <c r="F40" s="33">
        <f t="shared" si="15"/>
        <v>0.19838153138980319</v>
      </c>
      <c r="G40" s="33">
        <f t="shared" si="15"/>
        <v>-3.930728080136392E-3</v>
      </c>
      <c r="H40" s="33">
        <f t="shared" si="15"/>
        <v>6.6528185624272762E-2</v>
      </c>
      <c r="I40" s="33">
        <f t="shared" si="15"/>
        <v>0.44411259976601114</v>
      </c>
      <c r="J40" s="33">
        <f t="shared" si="15"/>
        <v>0.28638362856470234</v>
      </c>
      <c r="K40" s="33">
        <f t="shared" si="15"/>
        <v>1.243911810567E-2</v>
      </c>
      <c r="L40" s="33">
        <f t="shared" si="15"/>
        <v>1.8673674940947738E-3</v>
      </c>
      <c r="M40" s="33"/>
      <c r="N40" s="35"/>
    </row>
    <row r="42" spans="1:14" ht="15.6" x14ac:dyDescent="0.3">
      <c r="B42" s="30" t="s">
        <v>118</v>
      </c>
      <c r="C42" s="36">
        <f>IFERROR('Data Sheet'!B31/C36,0)</f>
        <v>2.2388577876144602</v>
      </c>
      <c r="D42" s="36">
        <f>IFERROR('Data Sheet'!C31/D36,0)</f>
        <v>2.346347371000995</v>
      </c>
      <c r="E42" s="36">
        <f>IFERROR('Data Sheet'!D31/E36,0)</f>
        <v>2.6292928022258559</v>
      </c>
      <c r="F42" s="36">
        <f>IFERROR('Data Sheet'!E31/F36,0)</f>
        <v>2.8484906748702175</v>
      </c>
      <c r="G42" s="36">
        <f>IFERROR('Data Sheet'!F31/G36,0)</f>
        <v>3.0467623505401633</v>
      </c>
      <c r="H42" s="36">
        <f>IFERROR('Data Sheet'!G31/H36,0)</f>
        <v>3.5582739827587564</v>
      </c>
      <c r="I42" s="36">
        <f>IFERROR('Data Sheet'!H31/I36,0)</f>
        <v>4.0000591287380445</v>
      </c>
      <c r="J42" s="36">
        <f>IFERROR('Data Sheet'!I31/J36,0)</f>
        <v>4.5002660517914155</v>
      </c>
      <c r="K42" s="36">
        <f>IFERROR('Data Sheet'!J31/K36,0)</f>
        <v>5.0002217065492109</v>
      </c>
      <c r="L42" s="36">
        <f>IFERROR('Data Sheet'!K31/L36,0)</f>
        <v>5.4998374272117294</v>
      </c>
      <c r="M42" s="56" t="s">
        <v>195</v>
      </c>
    </row>
    <row r="43" spans="1:14" ht="15.6" x14ac:dyDescent="0.3">
      <c r="B43" s="33" t="s">
        <v>120</v>
      </c>
      <c r="C43" s="33">
        <f>IFERROR(C42/C39,0)</f>
        <v>0.17538670746217916</v>
      </c>
      <c r="D43" s="33">
        <f t="shared" ref="D43:L43" si="16">IFERROR(D42/D39,0)</f>
        <v>0.15792052787346564</v>
      </c>
      <c r="E43" s="33">
        <f t="shared" si="16"/>
        <v>0.13556140551676776</v>
      </c>
      <c r="F43" s="33">
        <f t="shared" si="16"/>
        <v>0.12255098469663708</v>
      </c>
      <c r="G43" s="33">
        <f t="shared" si="16"/>
        <v>0.13159853082082401</v>
      </c>
      <c r="H43" s="33">
        <f t="shared" si="16"/>
        <v>0.14410515220238285</v>
      </c>
      <c r="I43" s="33">
        <f t="shared" si="16"/>
        <v>0.11217742771271634</v>
      </c>
      <c r="J43" s="33">
        <f t="shared" si="16"/>
        <v>9.8108526132628729E-2</v>
      </c>
      <c r="K43" s="33">
        <f t="shared" si="16"/>
        <v>0.10766856033481326</v>
      </c>
      <c r="L43" s="33">
        <f t="shared" si="16"/>
        <v>0.11820593046709973</v>
      </c>
      <c r="M43" s="33"/>
    </row>
    <row r="45" spans="1:14" ht="15.6" x14ac:dyDescent="0.3">
      <c r="B45" s="30" t="s">
        <v>121</v>
      </c>
      <c r="C45" s="37">
        <f>IFERROR(1-C43,0)</f>
        <v>0.8246132925378209</v>
      </c>
      <c r="D45" s="37">
        <f t="shared" ref="D45:L45" si="17">IFERROR(1-D43,0)</f>
        <v>0.84207947212653433</v>
      </c>
      <c r="E45" s="37">
        <f t="shared" si="17"/>
        <v>0.86443859448323224</v>
      </c>
      <c r="F45" s="37">
        <f t="shared" si="17"/>
        <v>0.87744901530336294</v>
      </c>
      <c r="G45" s="37">
        <f t="shared" si="17"/>
        <v>0.86840146917917593</v>
      </c>
      <c r="H45" s="37">
        <f t="shared" si="17"/>
        <v>0.85589484779761715</v>
      </c>
      <c r="I45" s="37">
        <f t="shared" si="17"/>
        <v>0.88782257228728367</v>
      </c>
      <c r="J45" s="37">
        <f t="shared" si="17"/>
        <v>0.90189147386737123</v>
      </c>
      <c r="K45" s="37">
        <f t="shared" si="17"/>
        <v>0.89233143966518669</v>
      </c>
      <c r="L45" s="37">
        <f t="shared" si="17"/>
        <v>0.88179406953290029</v>
      </c>
      <c r="M45" s="57" t="s">
        <v>99</v>
      </c>
    </row>
    <row r="48" spans="1:14" ht="15.6" x14ac:dyDescent="0.3">
      <c r="A48" s="43" t="s">
        <v>95</v>
      </c>
      <c r="B48" s="43" t="s">
        <v>123</v>
      </c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</row>
    <row r="49" spans="2:14" x14ac:dyDescent="0.25">
      <c r="B49" s="38" t="str">
        <f>'Data Sheet'!A57</f>
        <v>Equity Share Capital</v>
      </c>
      <c r="C49" s="35">
        <f>'Data Sheet'!B57</f>
        <v>2948</v>
      </c>
      <c r="D49" s="35">
        <f>'Data Sheet'!C57</f>
        <v>2959</v>
      </c>
      <c r="E49" s="35">
        <f>'Data Sheet'!D57</f>
        <v>5922</v>
      </c>
      <c r="F49" s="35">
        <f>'Data Sheet'!E57</f>
        <v>5926</v>
      </c>
      <c r="G49" s="35">
        <f>'Data Sheet'!F57</f>
        <v>6339</v>
      </c>
      <c r="H49" s="35">
        <f>'Data Sheet'!G57</f>
        <v>6445</v>
      </c>
      <c r="I49" s="35">
        <f>'Data Sheet'!H57</f>
        <v>6765</v>
      </c>
      <c r="J49" s="35">
        <f>'Data Sheet'!I57</f>
        <v>6766</v>
      </c>
      <c r="K49" s="35">
        <f>'Data Sheet'!J57</f>
        <v>6766</v>
      </c>
      <c r="L49" s="35">
        <f>'Data Sheet'!K57</f>
        <v>13532</v>
      </c>
      <c r="M49" s="35"/>
    </row>
    <row r="50" spans="2:14" x14ac:dyDescent="0.25">
      <c r="B50" s="38" t="str">
        <f>'Data Sheet'!A58</f>
        <v>Reserves</v>
      </c>
      <c r="C50" s="35">
        <f>'Data Sheet'!B58</f>
        <v>228608</v>
      </c>
      <c r="D50" s="35">
        <f>'Data Sheet'!C58</f>
        <v>260750</v>
      </c>
      <c r="E50" s="35">
        <f>'Data Sheet'!D58</f>
        <v>287584</v>
      </c>
      <c r="F50" s="35">
        <f>'Data Sheet'!E58</f>
        <v>381186</v>
      </c>
      <c r="G50" s="35">
        <f>'Data Sheet'!F58</f>
        <v>442827</v>
      </c>
      <c r="H50" s="35">
        <f>'Data Sheet'!G58</f>
        <v>693727</v>
      </c>
      <c r="I50" s="35">
        <f>'Data Sheet'!H58</f>
        <v>772720</v>
      </c>
      <c r="J50" s="35">
        <f>'Data Sheet'!I58</f>
        <v>709106</v>
      </c>
      <c r="K50" s="35">
        <f>'Data Sheet'!J58</f>
        <v>786715</v>
      </c>
      <c r="L50" s="35">
        <f>'Data Sheet'!K58</f>
        <v>829668</v>
      </c>
      <c r="M50" s="35"/>
    </row>
    <row r="51" spans="2:14" x14ac:dyDescent="0.25">
      <c r="B51" s="38" t="str">
        <f>'Data Sheet'!A59</f>
        <v>Borrowings</v>
      </c>
      <c r="C51" s="35">
        <f>'Data Sheet'!B59</f>
        <v>194714</v>
      </c>
      <c r="D51" s="35">
        <f>'Data Sheet'!C59</f>
        <v>217475</v>
      </c>
      <c r="E51" s="35">
        <f>'Data Sheet'!D59</f>
        <v>239843</v>
      </c>
      <c r="F51" s="35">
        <f>'Data Sheet'!E59</f>
        <v>307714</v>
      </c>
      <c r="G51" s="35">
        <f>'Data Sheet'!F59</f>
        <v>355133</v>
      </c>
      <c r="H51" s="35">
        <f>'Data Sheet'!G59</f>
        <v>278962</v>
      </c>
      <c r="I51" s="35">
        <f>'Data Sheet'!H59</f>
        <v>319158</v>
      </c>
      <c r="J51" s="35">
        <f>'Data Sheet'!I59</f>
        <v>451664</v>
      </c>
      <c r="K51" s="35">
        <f>'Data Sheet'!J59</f>
        <v>350719</v>
      </c>
      <c r="L51" s="35">
        <f>'Data Sheet'!K59</f>
        <v>374313</v>
      </c>
      <c r="M51" s="35"/>
    </row>
    <row r="52" spans="2:14" x14ac:dyDescent="0.25">
      <c r="B52" s="38" t="str">
        <f>'Data Sheet'!A60</f>
        <v>Other Liabilities</v>
      </c>
      <c r="C52" s="35">
        <f>'Data Sheet'!B60</f>
        <v>172727</v>
      </c>
      <c r="D52" s="35">
        <f>'Data Sheet'!C60</f>
        <v>225618</v>
      </c>
      <c r="E52" s="35">
        <f>'Data Sheet'!D60</f>
        <v>277924</v>
      </c>
      <c r="F52" s="35">
        <f>'Data Sheet'!E60</f>
        <v>302804</v>
      </c>
      <c r="G52" s="35">
        <f>'Data Sheet'!F60</f>
        <v>358716</v>
      </c>
      <c r="H52" s="35">
        <f>'Data Sheet'!G60</f>
        <v>340931</v>
      </c>
      <c r="I52" s="35">
        <f>'Data Sheet'!H60</f>
        <v>399979</v>
      </c>
      <c r="J52" s="35">
        <f>'Data Sheet'!I60</f>
        <v>438346</v>
      </c>
      <c r="K52" s="35">
        <f>'Data Sheet'!J60</f>
        <v>610848</v>
      </c>
      <c r="L52" s="35">
        <f>'Data Sheet'!K60</f>
        <v>732200</v>
      </c>
      <c r="M52" s="35"/>
    </row>
    <row r="53" spans="2:14" ht="15.6" x14ac:dyDescent="0.3">
      <c r="B53" s="78" t="s">
        <v>124</v>
      </c>
      <c r="C53" s="78">
        <f>'Data Sheet'!B61</f>
        <v>598997</v>
      </c>
      <c r="D53" s="78">
        <f>'Data Sheet'!C61</f>
        <v>706802</v>
      </c>
      <c r="E53" s="78">
        <f>'Data Sheet'!D61</f>
        <v>811273</v>
      </c>
      <c r="F53" s="78">
        <f>'Data Sheet'!E61</f>
        <v>997630</v>
      </c>
      <c r="G53" s="78">
        <f>'Data Sheet'!F61</f>
        <v>1163015</v>
      </c>
      <c r="H53" s="78">
        <f>'Data Sheet'!G61</f>
        <v>1320065</v>
      </c>
      <c r="I53" s="78">
        <f>'Data Sheet'!H61</f>
        <v>1498622</v>
      </c>
      <c r="J53" s="78">
        <f>'Data Sheet'!I61</f>
        <v>1605882</v>
      </c>
      <c r="K53" s="78">
        <f>'Data Sheet'!J61</f>
        <v>1755048</v>
      </c>
      <c r="L53" s="78">
        <f>'Data Sheet'!K61</f>
        <v>1949713</v>
      </c>
      <c r="M53" s="78"/>
    </row>
    <row r="54" spans="2:14" x14ac:dyDescent="0.25"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</row>
    <row r="55" spans="2:14" x14ac:dyDescent="0.25">
      <c r="B55" s="26" t="s">
        <v>125</v>
      </c>
      <c r="C55" s="35">
        <f>'Data Sheet'!B62</f>
        <v>184910</v>
      </c>
      <c r="D55" s="35">
        <f>'Data Sheet'!C62</f>
        <v>198526</v>
      </c>
      <c r="E55" s="35">
        <f>'Data Sheet'!D62</f>
        <v>403885</v>
      </c>
      <c r="F55" s="35">
        <f>'Data Sheet'!E62</f>
        <v>398374</v>
      </c>
      <c r="G55" s="35">
        <f>'Data Sheet'!F62</f>
        <v>532658</v>
      </c>
      <c r="H55" s="35">
        <f>'Data Sheet'!G62</f>
        <v>541258</v>
      </c>
      <c r="I55" s="35">
        <f>'Data Sheet'!H62</f>
        <v>627798</v>
      </c>
      <c r="J55" s="35">
        <f>'Data Sheet'!I62</f>
        <v>724805</v>
      </c>
      <c r="K55" s="35">
        <f>'Data Sheet'!J62</f>
        <v>779985</v>
      </c>
      <c r="L55" s="35">
        <f>'Data Sheet'!K62</f>
        <v>999393</v>
      </c>
      <c r="M55" s="35"/>
      <c r="N55" s="39"/>
    </row>
    <row r="56" spans="2:14" x14ac:dyDescent="0.25">
      <c r="B56" s="26" t="s">
        <v>126</v>
      </c>
      <c r="C56" s="35">
        <f>'Data Sheet'!B63</f>
        <v>228697</v>
      </c>
      <c r="D56" s="35">
        <f>'Data Sheet'!C63</f>
        <v>324837</v>
      </c>
      <c r="E56" s="35">
        <f>'Data Sheet'!D63</f>
        <v>187022</v>
      </c>
      <c r="F56" s="35">
        <f>'Data Sheet'!E63</f>
        <v>179463</v>
      </c>
      <c r="G56" s="35">
        <f>'Data Sheet'!F63</f>
        <v>109106</v>
      </c>
      <c r="H56" s="35">
        <f>'Data Sheet'!G63</f>
        <v>125953</v>
      </c>
      <c r="I56" s="35">
        <f>'Data Sheet'!H63</f>
        <v>172506</v>
      </c>
      <c r="J56" s="35">
        <f>'Data Sheet'!I63</f>
        <v>293752</v>
      </c>
      <c r="K56" s="35">
        <f>'Data Sheet'!J63</f>
        <v>338855</v>
      </c>
      <c r="L56" s="35">
        <f>'Data Sheet'!K63</f>
        <v>262358</v>
      </c>
      <c r="M56" s="35"/>
      <c r="N56" s="39"/>
    </row>
    <row r="57" spans="2:14" x14ac:dyDescent="0.25">
      <c r="B57" s="26" t="s">
        <v>127</v>
      </c>
      <c r="C57" s="35">
        <f>'Data Sheet'!B64</f>
        <v>84015</v>
      </c>
      <c r="D57" s="35">
        <f>'Data Sheet'!C64</f>
        <v>82899</v>
      </c>
      <c r="E57" s="35">
        <f>'Data Sheet'!D64</f>
        <v>82862</v>
      </c>
      <c r="F57" s="35">
        <f>'Data Sheet'!E64</f>
        <v>235635</v>
      </c>
      <c r="G57" s="35">
        <f>'Data Sheet'!F64</f>
        <v>276767</v>
      </c>
      <c r="H57" s="35">
        <f>'Data Sheet'!G64</f>
        <v>364828</v>
      </c>
      <c r="I57" s="35">
        <f>'Data Sheet'!H64</f>
        <v>394264</v>
      </c>
      <c r="J57" s="35">
        <f>'Data Sheet'!I64</f>
        <v>235560</v>
      </c>
      <c r="K57" s="35">
        <f>'Data Sheet'!J64</f>
        <v>225672</v>
      </c>
      <c r="L57" s="35">
        <f>'Data Sheet'!K64</f>
        <v>242381</v>
      </c>
      <c r="M57" s="35"/>
      <c r="N57" s="39"/>
    </row>
    <row r="58" spans="2:14" x14ac:dyDescent="0.25">
      <c r="B58" s="26" t="s">
        <v>128</v>
      </c>
      <c r="C58" s="35">
        <f>IFERROR('Data Sheet'!B65-SUM('Data Sheet'!B67:B69),0)</f>
        <v>39396</v>
      </c>
      <c r="D58" s="35">
        <f>IFERROR('Data Sheet'!C65-SUM('Data Sheet'!C67:C69),0)</f>
        <v>40389</v>
      </c>
      <c r="E58" s="35">
        <f>IFERROR('Data Sheet'!D65-SUM('Data Sheet'!D67:D69),0)</f>
        <v>54857</v>
      </c>
      <c r="F58" s="35">
        <f>IFERROR('Data Sheet'!E65-SUM('Data Sheet'!E67:E69),0)</f>
        <v>75427</v>
      </c>
      <c r="G58" s="35">
        <f>IFERROR('Data Sheet'!F65-SUM('Data Sheet'!F67:F69),0)</f>
        <v>120005</v>
      </c>
      <c r="H58" s="35">
        <f>IFERROR('Data Sheet'!G65-SUM('Data Sheet'!G67:G69),0)</f>
        <v>169943</v>
      </c>
      <c r="I58" s="35">
        <f>IFERROR('Data Sheet'!H65-SUM('Data Sheet'!H67:H69),0)</f>
        <v>136458</v>
      </c>
      <c r="J58" s="35">
        <f>IFERROR('Data Sheet'!I65-SUM('Data Sheet'!I67:I69),0)</f>
        <v>114645</v>
      </c>
      <c r="K58" s="35">
        <f>IFERROR('Data Sheet'!J65-SUM('Data Sheet'!J67:J69),0)</f>
        <v>128913</v>
      </c>
      <c r="L58" s="35">
        <f>IFERROR('Data Sheet'!K65-SUM('Data Sheet'!K67:K69),0)</f>
        <v>150896</v>
      </c>
      <c r="M58" s="35"/>
      <c r="N58" s="39"/>
    </row>
    <row r="59" spans="2:14" ht="15.6" x14ac:dyDescent="0.3">
      <c r="B59" s="78" t="s">
        <v>129</v>
      </c>
      <c r="C59" s="78">
        <f>IFERROR(SUM(C55:C58),0)</f>
        <v>537018</v>
      </c>
      <c r="D59" s="78">
        <f t="shared" ref="D59:L59" si="18">IFERROR(SUM(D55:D58),0)</f>
        <v>646651</v>
      </c>
      <c r="E59" s="78">
        <f t="shared" si="18"/>
        <v>728626</v>
      </c>
      <c r="F59" s="78">
        <f t="shared" si="18"/>
        <v>888899</v>
      </c>
      <c r="G59" s="78">
        <f t="shared" si="18"/>
        <v>1038536</v>
      </c>
      <c r="H59" s="78">
        <f t="shared" si="18"/>
        <v>1201982</v>
      </c>
      <c r="I59" s="78">
        <f t="shared" si="18"/>
        <v>1331026</v>
      </c>
      <c r="J59" s="78">
        <f t="shared" si="18"/>
        <v>1368762</v>
      </c>
      <c r="K59" s="78">
        <f t="shared" si="18"/>
        <v>1473425</v>
      </c>
      <c r="L59" s="78">
        <f t="shared" si="18"/>
        <v>1655028</v>
      </c>
      <c r="M59" s="78"/>
      <c r="N59" s="39"/>
    </row>
    <row r="60" spans="2:14" x14ac:dyDescent="0.25"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</row>
    <row r="61" spans="2:14" x14ac:dyDescent="0.25">
      <c r="B61" s="26" t="s">
        <v>130</v>
      </c>
      <c r="C61" s="35">
        <f>'Data Sheet'!B67</f>
        <v>4465</v>
      </c>
      <c r="D61" s="35">
        <f>'Data Sheet'!C67</f>
        <v>8177</v>
      </c>
      <c r="E61" s="35">
        <f>'Data Sheet'!D67</f>
        <v>17555</v>
      </c>
      <c r="F61" s="35">
        <f>'Data Sheet'!E67</f>
        <v>30089</v>
      </c>
      <c r="G61" s="35">
        <f>'Data Sheet'!F67</f>
        <v>19656</v>
      </c>
      <c r="H61" s="35">
        <f>'Data Sheet'!G67</f>
        <v>19014</v>
      </c>
      <c r="I61" s="35">
        <f>'Data Sheet'!H67</f>
        <v>23640</v>
      </c>
      <c r="J61" s="35">
        <f>'Data Sheet'!I67</f>
        <v>28448</v>
      </c>
      <c r="K61" s="35">
        <f>'Data Sheet'!J67</f>
        <v>31628</v>
      </c>
      <c r="L61" s="35">
        <f>'Data Sheet'!K67</f>
        <v>42121</v>
      </c>
      <c r="M61" s="35"/>
      <c r="N61" s="39"/>
    </row>
    <row r="62" spans="2:14" x14ac:dyDescent="0.25">
      <c r="B62" s="26" t="s">
        <v>131</v>
      </c>
      <c r="C62" s="35">
        <f>'Data Sheet'!B68</f>
        <v>46486</v>
      </c>
      <c r="D62" s="35">
        <f>'Data Sheet'!C68</f>
        <v>48951</v>
      </c>
      <c r="E62" s="35">
        <f>'Data Sheet'!D68</f>
        <v>60837</v>
      </c>
      <c r="F62" s="35">
        <f>'Data Sheet'!E68</f>
        <v>67561</v>
      </c>
      <c r="G62" s="35">
        <f>'Data Sheet'!F68</f>
        <v>73903</v>
      </c>
      <c r="H62" s="35">
        <f>'Data Sheet'!G68</f>
        <v>81672</v>
      </c>
      <c r="I62" s="35">
        <f>'Data Sheet'!H68</f>
        <v>107778</v>
      </c>
      <c r="J62" s="35">
        <f>'Data Sheet'!I68</f>
        <v>140008</v>
      </c>
      <c r="K62" s="35">
        <f>'Data Sheet'!J68</f>
        <v>152770</v>
      </c>
      <c r="L62" s="35">
        <f>'Data Sheet'!K68</f>
        <v>146062</v>
      </c>
      <c r="M62" s="35"/>
      <c r="N62" s="39"/>
    </row>
    <row r="63" spans="2:14" x14ac:dyDescent="0.25">
      <c r="B63" s="26" t="s">
        <v>132</v>
      </c>
      <c r="C63" s="35">
        <f>'Data Sheet'!B69</f>
        <v>11028</v>
      </c>
      <c r="D63" s="35">
        <f>'Data Sheet'!C69</f>
        <v>3023</v>
      </c>
      <c r="E63" s="35">
        <f>'Data Sheet'!D69</f>
        <v>4255</v>
      </c>
      <c r="F63" s="35">
        <f>'Data Sheet'!E69</f>
        <v>11081</v>
      </c>
      <c r="G63" s="35">
        <f>'Data Sheet'!F69</f>
        <v>30920</v>
      </c>
      <c r="H63" s="35">
        <f>'Data Sheet'!G69</f>
        <v>17397</v>
      </c>
      <c r="I63" s="35">
        <f>'Data Sheet'!H69</f>
        <v>36178</v>
      </c>
      <c r="J63" s="35">
        <f>'Data Sheet'!I69</f>
        <v>68664</v>
      </c>
      <c r="K63" s="35">
        <f>'Data Sheet'!J69</f>
        <v>97225</v>
      </c>
      <c r="L63" s="35">
        <f>'Data Sheet'!K69</f>
        <v>106502</v>
      </c>
      <c r="M63" s="35"/>
      <c r="N63" s="39"/>
    </row>
    <row r="64" spans="2:14" ht="15.6" x14ac:dyDescent="0.3">
      <c r="B64" s="78" t="s">
        <v>133</v>
      </c>
      <c r="C64" s="78">
        <f>IFERROR(SUM(C61:C63),0)</f>
        <v>61979</v>
      </c>
      <c r="D64" s="78">
        <f t="shared" ref="D64:L64" si="19">IFERROR(SUM(D61:D63),0)</f>
        <v>60151</v>
      </c>
      <c r="E64" s="78">
        <f t="shared" si="19"/>
        <v>82647</v>
      </c>
      <c r="F64" s="78">
        <f t="shared" si="19"/>
        <v>108731</v>
      </c>
      <c r="G64" s="78">
        <f t="shared" si="19"/>
        <v>124479</v>
      </c>
      <c r="H64" s="78">
        <f t="shared" si="19"/>
        <v>118083</v>
      </c>
      <c r="I64" s="78">
        <f t="shared" si="19"/>
        <v>167596</v>
      </c>
      <c r="J64" s="78">
        <f t="shared" si="19"/>
        <v>237120</v>
      </c>
      <c r="K64" s="78">
        <f t="shared" si="19"/>
        <v>281623</v>
      </c>
      <c r="L64" s="78">
        <f t="shared" si="19"/>
        <v>294685</v>
      </c>
      <c r="M64" s="78"/>
      <c r="N64" s="39"/>
    </row>
    <row r="65" spans="1:13" x14ac:dyDescent="0.25"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</row>
    <row r="66" spans="1:13" ht="15.6" x14ac:dyDescent="0.3">
      <c r="B66" s="78" t="s">
        <v>134</v>
      </c>
      <c r="C66" s="78">
        <f>C64+C59</f>
        <v>598997</v>
      </c>
      <c r="D66" s="78">
        <f t="shared" ref="D66:L66" si="20">D64+D59</f>
        <v>706802</v>
      </c>
      <c r="E66" s="78">
        <f t="shared" si="20"/>
        <v>811273</v>
      </c>
      <c r="F66" s="78">
        <f t="shared" si="20"/>
        <v>997630</v>
      </c>
      <c r="G66" s="78">
        <f t="shared" si="20"/>
        <v>1163015</v>
      </c>
      <c r="H66" s="78">
        <f t="shared" si="20"/>
        <v>1320065</v>
      </c>
      <c r="I66" s="78">
        <f t="shared" si="20"/>
        <v>1498622</v>
      </c>
      <c r="J66" s="78">
        <f t="shared" si="20"/>
        <v>1605882</v>
      </c>
      <c r="K66" s="78">
        <f t="shared" si="20"/>
        <v>1755048</v>
      </c>
      <c r="L66" s="78">
        <f t="shared" si="20"/>
        <v>1949713</v>
      </c>
      <c r="M66" s="78"/>
    </row>
    <row r="67" spans="1:13" x14ac:dyDescent="0.25"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</row>
    <row r="68" spans="1:13" ht="15.6" x14ac:dyDescent="0.3">
      <c r="B68" s="30" t="s">
        <v>135</v>
      </c>
      <c r="C68" s="26" t="b">
        <f>C66=C53</f>
        <v>1</v>
      </c>
      <c r="D68" s="26" t="b">
        <f t="shared" ref="D68:L68" si="21">D66=D53</f>
        <v>1</v>
      </c>
      <c r="E68" s="26" t="b">
        <f t="shared" si="21"/>
        <v>1</v>
      </c>
      <c r="F68" s="26" t="b">
        <f t="shared" si="21"/>
        <v>1</v>
      </c>
      <c r="G68" s="26" t="b">
        <f t="shared" si="21"/>
        <v>1</v>
      </c>
      <c r="H68" s="26" t="b">
        <f t="shared" si="21"/>
        <v>1</v>
      </c>
      <c r="I68" s="26" t="b">
        <f t="shared" si="21"/>
        <v>1</v>
      </c>
      <c r="J68" s="26" t="b">
        <f t="shared" si="21"/>
        <v>1</v>
      </c>
      <c r="K68" s="26" t="b">
        <f t="shared" si="21"/>
        <v>1</v>
      </c>
      <c r="L68" s="26" t="b">
        <f t="shared" si="21"/>
        <v>1</v>
      </c>
    </row>
    <row r="70" spans="1:13" ht="15.6" x14ac:dyDescent="0.3">
      <c r="A70" s="44" t="s">
        <v>95</v>
      </c>
      <c r="B70" s="43" t="s">
        <v>160</v>
      </c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</row>
    <row r="71" spans="1:13" ht="15.6" x14ac:dyDescent="0.3">
      <c r="B71" s="30" t="s">
        <v>161</v>
      </c>
    </row>
    <row r="72" spans="1:13" x14ac:dyDescent="0.25">
      <c r="B72" s="26" t="str" cm="1">
        <f t="array" ref="B72:B77">CFS!B4:B9</f>
        <v>Profit from operations</v>
      </c>
      <c r="C72" s="46">
        <f>CFS!D4</f>
        <v>38887</v>
      </c>
      <c r="D72" s="46">
        <f>CFS!E4</f>
        <v>44170</v>
      </c>
      <c r="E72" s="46">
        <f>CFS!F4</f>
        <v>62765</v>
      </c>
      <c r="F72" s="46">
        <f>CFS!G4</f>
        <v>83319</v>
      </c>
      <c r="G72" s="46">
        <f>CFS!H4</f>
        <v>85347</v>
      </c>
      <c r="H72" s="46">
        <f>CFS!I4</f>
        <v>80129</v>
      </c>
      <c r="I72" s="46">
        <f>CFS!J4</f>
        <v>113726</v>
      </c>
      <c r="J72" s="46">
        <f>CFS!K4</f>
        <v>140963</v>
      </c>
      <c r="K72" s="46">
        <f>CFS!L4</f>
        <v>164383</v>
      </c>
      <c r="L72" s="46">
        <f>CFS!M4</f>
        <v>166904</v>
      </c>
      <c r="M72" s="45"/>
    </row>
    <row r="73" spans="1:13" x14ac:dyDescent="0.25">
      <c r="B73" s="26" t="str">
        <v>Receivables</v>
      </c>
      <c r="C73" s="46">
        <f>CFS!D5</f>
        <v>-6880</v>
      </c>
      <c r="D73" s="46">
        <f>CFS!E5</f>
        <v>-8511</v>
      </c>
      <c r="E73" s="46">
        <f>CFS!F5</f>
        <v>-21991</v>
      </c>
      <c r="F73" s="46">
        <f>CFS!G5</f>
        <v>-40136</v>
      </c>
      <c r="G73" s="46">
        <f>CFS!H5</f>
        <v>-13792</v>
      </c>
      <c r="H73" s="46">
        <f>CFS!I5</f>
        <v>959</v>
      </c>
      <c r="I73" s="46">
        <f>CFS!J5</f>
        <v>-14180</v>
      </c>
      <c r="J73" s="46">
        <f>CFS!K5</f>
        <v>13194</v>
      </c>
      <c r="K73" s="46">
        <f>CFS!L5</f>
        <v>-15674</v>
      </c>
      <c r="L73" s="46">
        <f>CFS!M5</f>
        <v>-17837</v>
      </c>
      <c r="M73" s="45"/>
    </row>
    <row r="74" spans="1:13" x14ac:dyDescent="0.25">
      <c r="B74" s="26" t="str">
        <v>Inventory</v>
      </c>
      <c r="C74" s="46">
        <f>CFS!D6</f>
        <v>6758</v>
      </c>
      <c r="D74" s="46">
        <f>CFS!E6</f>
        <v>-6899</v>
      </c>
      <c r="E74" s="46">
        <f>CFS!F6</f>
        <v>-10474</v>
      </c>
      <c r="F74" s="46">
        <f>CFS!G6</f>
        <v>-6724</v>
      </c>
      <c r="G74" s="46">
        <f>CFS!H6</f>
        <v>-6342</v>
      </c>
      <c r="H74" s="46">
        <f>CFS!I6</f>
        <v>-7769</v>
      </c>
      <c r="I74" s="46">
        <f>CFS!J6</f>
        <v>-24983</v>
      </c>
      <c r="J74" s="46">
        <f>CFS!K6</f>
        <v>-32228</v>
      </c>
      <c r="K74" s="46">
        <f>CFS!L6</f>
        <v>-12756</v>
      </c>
      <c r="L74" s="46">
        <f>CFS!M6</f>
        <v>3134</v>
      </c>
      <c r="M74" s="45"/>
    </row>
    <row r="75" spans="1:13" x14ac:dyDescent="0.25">
      <c r="B75" s="26" t="str">
        <v>Payables</v>
      </c>
      <c r="C75" s="46">
        <f>CFS!D7</f>
        <v>7951</v>
      </c>
      <c r="D75" s="46">
        <f>CFS!E7</f>
        <v>30873</v>
      </c>
      <c r="E75" s="46">
        <f>CFS!F7</f>
        <v>51003</v>
      </c>
      <c r="F75" s="46">
        <f>CFS!G7</f>
        <v>18078</v>
      </c>
      <c r="G75" s="46">
        <f>CFS!H7</f>
        <v>38050</v>
      </c>
      <c r="H75" s="46">
        <f>CFS!I7</f>
        <v>-43148</v>
      </c>
      <c r="I75" s="46">
        <f>CFS!J7</f>
        <v>39888</v>
      </c>
      <c r="J75" s="46">
        <f>CFS!K7</f>
        <v>-600</v>
      </c>
      <c r="K75" s="46">
        <f>CFS!L7</f>
        <v>34796</v>
      </c>
      <c r="L75" s="46">
        <f>CFS!M7</f>
        <v>38427</v>
      </c>
      <c r="M75" s="45"/>
    </row>
    <row r="76" spans="1:13" x14ac:dyDescent="0.25">
      <c r="B76" s="26" t="str">
        <v>Working capital changes</v>
      </c>
      <c r="C76" s="46">
        <f>CFS!D8</f>
        <v>7829</v>
      </c>
      <c r="D76" s="46">
        <f>CFS!E8</f>
        <v>15463</v>
      </c>
      <c r="E76" s="46">
        <f>CFS!F8</f>
        <v>18538</v>
      </c>
      <c r="F76" s="46">
        <f>CFS!G8</f>
        <v>-28782</v>
      </c>
      <c r="G76" s="46">
        <f>CFS!H8</f>
        <v>17916</v>
      </c>
      <c r="H76" s="46">
        <f>CFS!I8</f>
        <v>-49958</v>
      </c>
      <c r="I76" s="46">
        <f>CFS!J8</f>
        <v>725</v>
      </c>
      <c r="J76" s="46">
        <f>CFS!K8</f>
        <v>-19634</v>
      </c>
      <c r="K76" s="46">
        <f>CFS!L8</f>
        <v>6366</v>
      </c>
      <c r="L76" s="46">
        <f>CFS!M8</f>
        <v>23724</v>
      </c>
      <c r="M76" s="45"/>
    </row>
    <row r="77" spans="1:13" x14ac:dyDescent="0.25">
      <c r="B77" s="26" t="str">
        <v>Direct taxes</v>
      </c>
      <c r="C77" s="46">
        <f>CFS!D9</f>
        <v>-8582</v>
      </c>
      <c r="D77" s="46">
        <f>CFS!E9</f>
        <v>-10083</v>
      </c>
      <c r="E77" s="46">
        <f>CFS!F9</f>
        <v>-9844</v>
      </c>
      <c r="F77" s="46">
        <f>CFS!G9</f>
        <v>-12191</v>
      </c>
      <c r="G77" s="46">
        <f>CFS!H9</f>
        <v>-8386</v>
      </c>
      <c r="H77" s="46">
        <f>CFS!I9</f>
        <v>-3213</v>
      </c>
      <c r="I77" s="46">
        <f>CFS!J9</f>
        <v>-3797</v>
      </c>
      <c r="J77" s="46">
        <f>CFS!K9</f>
        <v>-6297</v>
      </c>
      <c r="K77" s="46">
        <f>CFS!L9</f>
        <v>-11961</v>
      </c>
      <c r="L77" s="46">
        <f>CFS!M9</f>
        <v>-11925</v>
      </c>
      <c r="M77" s="45"/>
    </row>
    <row r="78" spans="1:13" ht="15.6" x14ac:dyDescent="0.3">
      <c r="B78" s="78" t="s">
        <v>162</v>
      </c>
      <c r="C78" s="78">
        <f>IFERROR(SUM(C72:C77),0)</f>
        <v>45963</v>
      </c>
      <c r="D78" s="78">
        <f t="shared" ref="D78:L78" si="22">IFERROR(SUM(D72:D77),0)</f>
        <v>65013</v>
      </c>
      <c r="E78" s="78">
        <f t="shared" si="22"/>
        <v>89997</v>
      </c>
      <c r="F78" s="78">
        <f t="shared" si="22"/>
        <v>13564</v>
      </c>
      <c r="G78" s="78">
        <f t="shared" si="22"/>
        <v>112793</v>
      </c>
      <c r="H78" s="78">
        <f t="shared" si="22"/>
        <v>-23000</v>
      </c>
      <c r="I78" s="78">
        <f t="shared" si="22"/>
        <v>111379</v>
      </c>
      <c r="J78" s="78">
        <f t="shared" si="22"/>
        <v>95398</v>
      </c>
      <c r="K78" s="78">
        <f t="shared" si="22"/>
        <v>165154</v>
      </c>
      <c r="L78" s="78">
        <f t="shared" si="22"/>
        <v>202427</v>
      </c>
      <c r="M78" s="78"/>
    </row>
    <row r="80" spans="1:13" ht="15.6" x14ac:dyDescent="0.3">
      <c r="B80" s="30" t="s">
        <v>163</v>
      </c>
    </row>
    <row r="81" spans="2:13" x14ac:dyDescent="0.25">
      <c r="B81" s="26" t="str" cm="1">
        <f t="array" ref="B81:B87">CFS!B11:B17</f>
        <v>Fixed assets purchased</v>
      </c>
      <c r="C81" s="47">
        <f>IFERROR(CFS!D11,0)</f>
        <v>-46898</v>
      </c>
      <c r="D81" s="47">
        <f>IFERROR(CFS!E11,0)</f>
        <v>-78109</v>
      </c>
      <c r="E81" s="47">
        <f>IFERROR(CFS!F11,0)</f>
        <v>-73953</v>
      </c>
      <c r="F81" s="47">
        <f>IFERROR(CFS!G11,0)</f>
        <v>-93626</v>
      </c>
      <c r="G81" s="47">
        <f>IFERROR(CFS!H11,0)</f>
        <v>-76517</v>
      </c>
      <c r="H81" s="47">
        <f>IFERROR(CFS!I11,0)</f>
        <v>-105837</v>
      </c>
      <c r="I81" s="47">
        <f>IFERROR(CFS!J11,0)</f>
        <v>-100145</v>
      </c>
      <c r="J81" s="47">
        <f>IFERROR(CFS!K11,0)</f>
        <v>-140988</v>
      </c>
      <c r="K81" s="47">
        <f>IFERROR(CFS!L11,0)</f>
        <v>-152883</v>
      </c>
      <c r="L81" s="47">
        <f>IFERROR(CFS!M11,0)</f>
        <v>-139967</v>
      </c>
    </row>
    <row r="82" spans="2:13" x14ac:dyDescent="0.25">
      <c r="B82" s="26" t="str">
        <v>Fixed assets sold</v>
      </c>
      <c r="C82" s="47">
        <f>IFERROR(CFS!D12,0)</f>
        <v>344</v>
      </c>
      <c r="D82" s="47">
        <f>IFERROR(CFS!E12,0)</f>
        <v>1482</v>
      </c>
      <c r="E82" s="47">
        <f>IFERROR(CFS!F12,0)</f>
        <v>999</v>
      </c>
      <c r="F82" s="47">
        <f>IFERROR(CFS!G12,0)</f>
        <v>849</v>
      </c>
      <c r="G82" s="47">
        <f>IFERROR(CFS!H12,0)</f>
        <v>964</v>
      </c>
      <c r="H82" s="47">
        <f>IFERROR(CFS!I12,0)</f>
        <v>2319</v>
      </c>
      <c r="I82" s="47">
        <f>IFERROR(CFS!J12,0)</f>
        <v>3137</v>
      </c>
      <c r="J82" s="47">
        <f>IFERROR(CFS!K12,0)</f>
        <v>9186</v>
      </c>
      <c r="K82" s="47">
        <f>IFERROR(CFS!L12,0)</f>
        <v>15307</v>
      </c>
      <c r="L82" s="47">
        <f>IFERROR(CFS!M12,0)</f>
        <v>2343</v>
      </c>
    </row>
    <row r="83" spans="2:13" x14ac:dyDescent="0.25">
      <c r="B83" s="26" t="str">
        <v>Investments purchased</v>
      </c>
      <c r="C83" s="47">
        <f>IFERROR(CFS!D13,0)</f>
        <v>-715334</v>
      </c>
      <c r="D83" s="47">
        <f>IFERROR(CFS!E13,0)</f>
        <v>-654760</v>
      </c>
      <c r="E83" s="47">
        <f>IFERROR(CFS!F13,0)</f>
        <v>-533984</v>
      </c>
      <c r="F83" s="47">
        <f>IFERROR(CFS!G13,0)</f>
        <v>-1107439</v>
      </c>
      <c r="G83" s="47">
        <f>IFERROR(CFS!H13,0)</f>
        <v>-1156843</v>
      </c>
      <c r="H83" s="47">
        <f>IFERROR(CFS!I13,0)</f>
        <v>-689866</v>
      </c>
      <c r="I83" s="47">
        <f>IFERROR(CFS!J13,0)</f>
        <v>-667878</v>
      </c>
      <c r="J83" s="47">
        <f>IFERROR(CFS!K13,0)</f>
        <v>-471822</v>
      </c>
      <c r="K83" s="47">
        <f>IFERROR(CFS!L13,0)</f>
        <v>-513660</v>
      </c>
      <c r="L83" s="47">
        <f>IFERROR(CFS!M13,0)</f>
        <v>-684340</v>
      </c>
    </row>
    <row r="84" spans="2:13" x14ac:dyDescent="0.25">
      <c r="B84" s="26" t="str">
        <v>Investments sold</v>
      </c>
      <c r="C84" s="47">
        <f>IFERROR(CFS!D14,0)</f>
        <v>721182</v>
      </c>
      <c r="D84" s="47">
        <f>IFERROR(CFS!E14,0)</f>
        <v>663990</v>
      </c>
      <c r="E84" s="47">
        <f>IFERROR(CFS!F14,0)</f>
        <v>537504</v>
      </c>
      <c r="F84" s="47">
        <f>IFERROR(CFS!G14,0)</f>
        <v>1103615</v>
      </c>
      <c r="G84" s="47">
        <f>IFERROR(CFS!H14,0)</f>
        <v>1174796</v>
      </c>
      <c r="H84" s="47">
        <f>IFERROR(CFS!I14,0)</f>
        <v>642551</v>
      </c>
      <c r="I84" s="47">
        <f>IFERROR(CFS!J14,0)</f>
        <v>668137</v>
      </c>
      <c r="J84" s="47">
        <f>IFERROR(CFS!K14,0)</f>
        <v>501266</v>
      </c>
      <c r="K84" s="47">
        <f>IFERROR(CFS!L14,0)</f>
        <v>531355</v>
      </c>
      <c r="L84" s="47">
        <f>IFERROR(CFS!M14,0)</f>
        <v>672558</v>
      </c>
    </row>
    <row r="85" spans="2:13" x14ac:dyDescent="0.25">
      <c r="B85" s="26" t="str">
        <v>Interest received</v>
      </c>
      <c r="C85" s="47">
        <f>IFERROR(CFS!D15,0)</f>
        <v>2942</v>
      </c>
      <c r="D85" s="47">
        <f>IFERROR(CFS!E15,0)</f>
        <v>1110</v>
      </c>
      <c r="E85" s="47">
        <f>IFERROR(CFS!F15,0)</f>
        <v>1310</v>
      </c>
      <c r="F85" s="47">
        <f>IFERROR(CFS!G15,0)</f>
        <v>972</v>
      </c>
      <c r="G85" s="47">
        <f>IFERROR(CFS!H15,0)</f>
        <v>1441</v>
      </c>
      <c r="H85" s="47">
        <f>IFERROR(CFS!I15,0)</f>
        <v>8400</v>
      </c>
      <c r="I85" s="47">
        <f>IFERROR(CFS!J15,0)</f>
        <v>5933</v>
      </c>
      <c r="J85" s="47">
        <f>IFERROR(CFS!K15,0)</f>
        <v>11103</v>
      </c>
      <c r="K85" s="47">
        <f>IFERROR(CFS!L15,0)</f>
        <v>10648</v>
      </c>
      <c r="L85" s="47">
        <f>IFERROR(CFS!M15,0)</f>
        <v>15833</v>
      </c>
    </row>
    <row r="86" spans="2:13" x14ac:dyDescent="0.25">
      <c r="B86" s="26" t="str">
        <v>Dividends received</v>
      </c>
      <c r="C86" s="47">
        <f>IFERROR(CFS!D16,0)</f>
        <v>732</v>
      </c>
      <c r="D86" s="47">
        <f>IFERROR(CFS!E16,0)</f>
        <v>345</v>
      </c>
      <c r="E86" s="47">
        <f>IFERROR(CFS!F16,0)</f>
        <v>1021</v>
      </c>
      <c r="F86" s="47">
        <f>IFERROR(CFS!G16,0)</f>
        <v>501</v>
      </c>
      <c r="G86" s="47">
        <f>IFERROR(CFS!H16,0)</f>
        <v>78</v>
      </c>
      <c r="H86" s="47">
        <f>IFERROR(CFS!I16,0)</f>
        <v>26</v>
      </c>
      <c r="I86" s="47">
        <f>IFERROR(CFS!J16,0)</f>
        <v>19</v>
      </c>
      <c r="J86" s="47">
        <f>IFERROR(CFS!K16,0)</f>
        <v>20</v>
      </c>
      <c r="K86" s="47">
        <f>IFERROR(CFS!L16,0)</f>
        <v>75</v>
      </c>
      <c r="L86" s="47">
        <f>IFERROR(CFS!M16,0)</f>
        <v>612</v>
      </c>
    </row>
    <row r="87" spans="2:13" x14ac:dyDescent="0.25">
      <c r="B87" s="26" t="str">
        <v>Other investing items</v>
      </c>
      <c r="C87" s="47">
        <f>IFERROR(CFS!D17,0)</f>
        <v>846</v>
      </c>
      <c r="D87" s="47">
        <f>IFERROR(CFS!E17,0)</f>
        <v>-259</v>
      </c>
      <c r="E87" s="47">
        <f>IFERROR(CFS!F17,0)</f>
        <v>-1089</v>
      </c>
      <c r="F87" s="47">
        <f>IFERROR(CFS!G17,0)</f>
        <v>621</v>
      </c>
      <c r="G87" s="47">
        <f>IFERROR(CFS!H17,0)</f>
        <v>-16416</v>
      </c>
      <c r="H87" s="47">
        <f>IFERROR(CFS!I17,0)</f>
        <v>22</v>
      </c>
      <c r="I87" s="47">
        <f>IFERROR(CFS!J17,0)</f>
        <v>-18365</v>
      </c>
      <c r="J87" s="47">
        <f>IFERROR(CFS!K17,0)</f>
        <v>-1766</v>
      </c>
      <c r="K87" s="47">
        <f>IFERROR(CFS!L17,0)</f>
        <v>-4423</v>
      </c>
      <c r="L87" s="47">
        <f>IFERROR(CFS!M17,0)</f>
        <v>-4574</v>
      </c>
    </row>
    <row r="88" spans="2:13" ht="15.6" x14ac:dyDescent="0.3">
      <c r="B88" s="78" t="s">
        <v>164</v>
      </c>
      <c r="C88" s="78">
        <f>IFERROR(SUM(C81:C87),0)</f>
        <v>-36186</v>
      </c>
      <c r="D88" s="78">
        <f t="shared" ref="D88:L88" si="23">IFERROR(SUM(D81:D87),0)</f>
        <v>-66201</v>
      </c>
      <c r="E88" s="78">
        <f t="shared" si="23"/>
        <v>-68192</v>
      </c>
      <c r="F88" s="78">
        <f t="shared" si="23"/>
        <v>-94507</v>
      </c>
      <c r="G88" s="78">
        <f t="shared" si="23"/>
        <v>-72497</v>
      </c>
      <c r="H88" s="78">
        <f t="shared" si="23"/>
        <v>-142385</v>
      </c>
      <c r="I88" s="78">
        <f t="shared" si="23"/>
        <v>-109162</v>
      </c>
      <c r="J88" s="78">
        <f t="shared" si="23"/>
        <v>-93001</v>
      </c>
      <c r="K88" s="78">
        <f t="shared" si="23"/>
        <v>-113581</v>
      </c>
      <c r="L88" s="78">
        <f t="shared" si="23"/>
        <v>-137535</v>
      </c>
      <c r="M88" s="78"/>
    </row>
    <row r="90" spans="2:13" ht="15.6" x14ac:dyDescent="0.3">
      <c r="B90" s="30" t="s">
        <v>165</v>
      </c>
    </row>
    <row r="91" spans="2:13" x14ac:dyDescent="0.25">
      <c r="B91" s="26" t="str" cm="1">
        <f t="array" ref="B91:B98">CFS!B19:B26</f>
        <v>Proceeds from shares</v>
      </c>
      <c r="C91" s="47">
        <f>CFS!D19</f>
        <v>288</v>
      </c>
      <c r="D91" s="47">
        <f>CFS!E19</f>
        <v>811</v>
      </c>
      <c r="E91" s="47">
        <f>CFS!F19</f>
        <v>406</v>
      </c>
      <c r="F91" s="47">
        <f>CFS!G19</f>
        <v>230</v>
      </c>
      <c r="G91" s="47">
        <f>CFS!H19</f>
        <v>129</v>
      </c>
      <c r="H91" s="47">
        <f>CFS!I19</f>
        <v>5</v>
      </c>
      <c r="I91" s="47">
        <f>CFS!J19</f>
        <v>455</v>
      </c>
      <c r="J91" s="47">
        <f>CFS!K19</f>
        <v>479</v>
      </c>
      <c r="K91" s="47">
        <f>CFS!L19</f>
        <v>20915</v>
      </c>
      <c r="L91" s="47">
        <f>CFS!M19</f>
        <v>0</v>
      </c>
    </row>
    <row r="92" spans="2:13" x14ac:dyDescent="0.25">
      <c r="B92" s="26" t="str">
        <v>Proceeds from borrowings</v>
      </c>
      <c r="C92" s="47">
        <f>CFS!D20</f>
        <v>34673</v>
      </c>
      <c r="D92" s="47">
        <f>CFS!E20</f>
        <v>31728</v>
      </c>
      <c r="E92" s="47">
        <f>CFS!F20</f>
        <v>36970</v>
      </c>
      <c r="F92" s="47">
        <f>CFS!G20</f>
        <v>106701</v>
      </c>
      <c r="G92" s="47">
        <f>CFS!H20</f>
        <v>53760</v>
      </c>
      <c r="H92" s="47">
        <f>CFS!I20</f>
        <v>46421</v>
      </c>
      <c r="I92" s="47">
        <f>CFS!J20</f>
        <v>59343</v>
      </c>
      <c r="J92" s="47">
        <f>CFS!K20</f>
        <v>67134</v>
      </c>
      <c r="K92" s="47">
        <f>CFS!L20</f>
        <v>69610</v>
      </c>
      <c r="L92" s="47">
        <f>CFS!M20</f>
        <v>51002</v>
      </c>
    </row>
    <row r="93" spans="2:13" x14ac:dyDescent="0.25">
      <c r="B93" s="26" t="str">
        <v>Repayment of borrowings</v>
      </c>
      <c r="C93" s="47">
        <f>CFS!D21</f>
        <v>-21693</v>
      </c>
      <c r="D93" s="47">
        <f>CFS!E21</f>
        <v>-18542</v>
      </c>
      <c r="E93" s="47">
        <f>CFS!F21</f>
        <v>-19813</v>
      </c>
      <c r="F93" s="47">
        <f>CFS!G21</f>
        <v>-20245</v>
      </c>
      <c r="G93" s="47">
        <f>CFS!H21</f>
        <v>-18179</v>
      </c>
      <c r="H93" s="47">
        <f>CFS!I21</f>
        <v>-116921</v>
      </c>
      <c r="I93" s="47">
        <f>CFS!J21</f>
        <v>-49493</v>
      </c>
      <c r="J93" s="47">
        <f>CFS!K21</f>
        <v>-29059</v>
      </c>
      <c r="K93" s="47">
        <f>CFS!L21</f>
        <v>-60348</v>
      </c>
      <c r="L93" s="47">
        <f>CFS!M21</f>
        <v>-31755</v>
      </c>
    </row>
    <row r="94" spans="2:13" x14ac:dyDescent="0.25">
      <c r="B94" s="26" t="str">
        <v>Interest paid fin</v>
      </c>
      <c r="C94" s="47">
        <f>CFS!D22</f>
        <v>-9224</v>
      </c>
      <c r="D94" s="47">
        <f>CFS!E22</f>
        <v>-12920</v>
      </c>
      <c r="E94" s="47">
        <f>CFS!F22</f>
        <v>-17669</v>
      </c>
      <c r="F94" s="47">
        <f>CFS!G22</f>
        <v>-23338</v>
      </c>
      <c r="G94" s="47">
        <f>CFS!H22</f>
        <v>-28508</v>
      </c>
      <c r="H94" s="47">
        <f>CFS!I22</f>
        <v>-18340</v>
      </c>
      <c r="I94" s="47">
        <f>CFS!J22</f>
        <v>-26349</v>
      </c>
      <c r="J94" s="47">
        <f>CFS!K22</f>
        <v>-21650</v>
      </c>
      <c r="K94" s="47">
        <f>CFS!L22</f>
        <v>-37173</v>
      </c>
      <c r="L94" s="47">
        <f>CFS!M22</f>
        <v>-41024</v>
      </c>
    </row>
    <row r="95" spans="2:13" x14ac:dyDescent="0.25">
      <c r="B95" s="26" t="str">
        <v>Dividends paid</v>
      </c>
      <c r="C95" s="47">
        <f>CFS!D23</f>
        <v>-7259</v>
      </c>
      <c r="D95" s="47">
        <f>CFS!E23</f>
        <v>-53</v>
      </c>
      <c r="E95" s="47">
        <f>CFS!F23</f>
        <v>-3916</v>
      </c>
      <c r="F95" s="47">
        <f>CFS!G23</f>
        <v>-4282</v>
      </c>
      <c r="G95" s="47">
        <f>CFS!H23</f>
        <v>-4592</v>
      </c>
      <c r="H95" s="47">
        <f>CFS!I23</f>
        <v>-3921</v>
      </c>
      <c r="I95" s="47">
        <f>CFS!J23</f>
        <v>-4297</v>
      </c>
      <c r="J95" s="47">
        <f>CFS!K23</f>
        <v>-5083</v>
      </c>
      <c r="K95" s="47">
        <f>CFS!L23</f>
        <v>-6089</v>
      </c>
      <c r="L95" s="47">
        <f>CFS!M23</f>
        <v>-7180</v>
      </c>
    </row>
    <row r="96" spans="2:13" x14ac:dyDescent="0.25">
      <c r="B96" s="26" t="str">
        <v>Financial liabilities</v>
      </c>
      <c r="C96" s="47">
        <f>CFS!D24</f>
        <v>0</v>
      </c>
      <c r="D96" s="47">
        <f>CFS!E24</f>
        <v>0</v>
      </c>
      <c r="E96" s="47">
        <f>CFS!F24</f>
        <v>0</v>
      </c>
      <c r="F96" s="47">
        <f>CFS!G24</f>
        <v>0</v>
      </c>
      <c r="G96" s="47">
        <f>CFS!H24</f>
        <v>-1062</v>
      </c>
      <c r="H96" s="47">
        <f>CFS!I24</f>
        <v>-1022</v>
      </c>
      <c r="I96" s="47">
        <f>CFS!J24</f>
        <v>-2132</v>
      </c>
      <c r="J96" s="47">
        <f>CFS!K24</f>
        <v>-1406</v>
      </c>
      <c r="K96" s="47">
        <f>CFS!L24</f>
        <v>-2483</v>
      </c>
      <c r="L96" s="47">
        <f>CFS!M24</f>
        <v>-2956</v>
      </c>
    </row>
    <row r="97" spans="2:13" x14ac:dyDescent="0.25">
      <c r="B97" s="26" t="str">
        <v>Share application money</v>
      </c>
      <c r="C97" s="47">
        <f>CFS!D25</f>
        <v>8</v>
      </c>
      <c r="D97" s="47">
        <f>CFS!E25</f>
        <v>4</v>
      </c>
      <c r="E97" s="47">
        <f>CFS!F25</f>
        <v>15</v>
      </c>
      <c r="F97" s="47">
        <f>CFS!G25</f>
        <v>2</v>
      </c>
      <c r="G97" s="47">
        <f>CFS!H25</f>
        <v>1</v>
      </c>
      <c r="H97" s="47">
        <f>CFS!I25</f>
        <v>0</v>
      </c>
      <c r="I97" s="47">
        <f>CFS!J25</f>
        <v>0</v>
      </c>
      <c r="J97" s="47">
        <f>CFS!K25</f>
        <v>0</v>
      </c>
      <c r="K97" s="47">
        <f>CFS!L25</f>
        <v>0</v>
      </c>
      <c r="L97" s="47">
        <f>CFS!M25</f>
        <v>0</v>
      </c>
    </row>
    <row r="98" spans="2:13" x14ac:dyDescent="0.25">
      <c r="B98" s="26" t="str">
        <v>Other financing items</v>
      </c>
      <c r="C98" s="47">
        <f>CFS!D26</f>
        <v>-3</v>
      </c>
      <c r="D98" s="47">
        <f>CFS!E26</f>
        <v>7589</v>
      </c>
      <c r="E98" s="47">
        <f>CFS!F26</f>
        <v>2006</v>
      </c>
      <c r="F98" s="47">
        <f>CFS!G26</f>
        <v>-3162</v>
      </c>
      <c r="G98" s="47">
        <f>CFS!H26</f>
        <v>-4090</v>
      </c>
      <c r="H98" s="47">
        <f>CFS!I26</f>
        <v>195682</v>
      </c>
      <c r="I98" s="47">
        <f>CFS!J26</f>
        <v>39762</v>
      </c>
      <c r="J98" s="47">
        <f>CFS!K26</f>
        <v>40</v>
      </c>
      <c r="K98" s="47">
        <f>CFS!L26</f>
        <v>-1078</v>
      </c>
      <c r="L98" s="47">
        <f>CFS!M26</f>
        <v>22</v>
      </c>
    </row>
    <row r="99" spans="2:13" ht="15.6" x14ac:dyDescent="0.3">
      <c r="B99" s="78" t="s">
        <v>166</v>
      </c>
      <c r="C99" s="78">
        <f>IFERROR(SUM(C91:C98),0)</f>
        <v>-3210</v>
      </c>
      <c r="D99" s="78">
        <f t="shared" ref="D99:L99" si="24">IFERROR(SUM(D91:D98),0)</f>
        <v>8617</v>
      </c>
      <c r="E99" s="78">
        <f t="shared" si="24"/>
        <v>-2001</v>
      </c>
      <c r="F99" s="78">
        <f t="shared" si="24"/>
        <v>55906</v>
      </c>
      <c r="G99" s="78">
        <f t="shared" si="24"/>
        <v>-2541</v>
      </c>
      <c r="H99" s="78">
        <f t="shared" si="24"/>
        <v>101904</v>
      </c>
      <c r="I99" s="78">
        <f t="shared" si="24"/>
        <v>17289</v>
      </c>
      <c r="J99" s="78">
        <f t="shared" si="24"/>
        <v>10455</v>
      </c>
      <c r="K99" s="78">
        <f t="shared" si="24"/>
        <v>-16646</v>
      </c>
      <c r="L99" s="78">
        <f t="shared" si="24"/>
        <v>-31891</v>
      </c>
      <c r="M99" s="78"/>
    </row>
    <row r="100" spans="2:13" ht="15.6" x14ac:dyDescent="0.3">
      <c r="C100" s="48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2:13" ht="15.6" x14ac:dyDescent="0.3">
      <c r="B101" s="78" t="s">
        <v>167</v>
      </c>
      <c r="C101" s="78">
        <f>IFERROR(SUM(C99+C88+C78),0)</f>
        <v>6567</v>
      </c>
      <c r="D101" s="78">
        <f t="shared" ref="D101:L101" si="25">IFERROR(SUM(D99+D88+D78),0)</f>
        <v>7429</v>
      </c>
      <c r="E101" s="78">
        <f t="shared" si="25"/>
        <v>19804</v>
      </c>
      <c r="F101" s="78">
        <f t="shared" si="25"/>
        <v>-25037</v>
      </c>
      <c r="G101" s="78">
        <f t="shared" si="25"/>
        <v>37755</v>
      </c>
      <c r="H101" s="78">
        <f t="shared" si="25"/>
        <v>-63481</v>
      </c>
      <c r="I101" s="78">
        <f t="shared" si="25"/>
        <v>19506</v>
      </c>
      <c r="J101" s="78">
        <f t="shared" si="25"/>
        <v>12852</v>
      </c>
      <c r="K101" s="78">
        <f t="shared" si="25"/>
        <v>34927</v>
      </c>
      <c r="L101" s="78">
        <f t="shared" si="25"/>
        <v>33001</v>
      </c>
      <c r="M101" s="78"/>
    </row>
  </sheetData>
  <mergeCells count="1">
    <mergeCell ref="B2:M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4AF02-F719-497E-9AFD-129614B0F0DC}">
  <sheetPr>
    <tabColor rgb="FF00B050"/>
    <pageSetUpPr fitToPage="1"/>
  </sheetPr>
  <dimension ref="B2:P20"/>
  <sheetViews>
    <sheetView showGridLines="0" workbookViewId="0">
      <selection activeCell="F15" sqref="F15"/>
    </sheetView>
  </sheetViews>
  <sheetFormatPr defaultRowHeight="14.4" x14ac:dyDescent="0.3"/>
  <cols>
    <col min="1" max="1" width="2.33203125" customWidth="1"/>
    <col min="2" max="2" width="10.88671875" bestFit="1" customWidth="1"/>
    <col min="4" max="4" width="10.44140625" bestFit="1" customWidth="1"/>
    <col min="5" max="5" width="11.6640625" bestFit="1" customWidth="1"/>
    <col min="8" max="8" width="10.88671875" bestFit="1" customWidth="1"/>
    <col min="9" max="9" width="6.5546875" bestFit="1" customWidth="1"/>
    <col min="10" max="10" width="10.44140625" bestFit="1" customWidth="1"/>
    <col min="11" max="11" width="11.6640625" bestFit="1" customWidth="1"/>
  </cols>
  <sheetData>
    <row r="2" spans="2:16" x14ac:dyDescent="0.3">
      <c r="B2" s="89" t="str">
        <f>'Data Sheet'!$B$1&amp; "-" &amp;'Data Sheet'!A17&amp;" Forecasting"</f>
        <v>RELIANCE INDUSTRIES LTD-Sales Forecasting</v>
      </c>
      <c r="C2" s="89"/>
      <c r="D2" s="89"/>
      <c r="E2" s="89"/>
      <c r="H2" s="89" t="str">
        <f>'Data Sheet'!$B$1&amp; "-" &amp; 'HISTORICAL FC'!B18 &amp; " Forecasting"</f>
        <v>RELIANCE INDUSTRIES LTD-EBITDA Forecasting</v>
      </c>
      <c r="I2" s="89"/>
      <c r="J2" s="89"/>
      <c r="K2" s="89"/>
      <c r="M2" s="89" t="str">
        <f>'Data Sheet'!$B$1&amp; "-" &amp; 'HISTORICAL FC'!B39&amp; " Forecasting"</f>
        <v>RELIANCE INDUSTRIES LTD-EARNING PER SHARE Forecasting</v>
      </c>
      <c r="N2" s="89"/>
      <c r="O2" s="89"/>
      <c r="P2" s="89"/>
    </row>
    <row r="3" spans="2:16" x14ac:dyDescent="0.3">
      <c r="B3" s="70" t="s">
        <v>210</v>
      </c>
      <c r="C3" s="70" t="s">
        <v>211</v>
      </c>
      <c r="D3" s="70" t="s">
        <v>6</v>
      </c>
      <c r="E3" s="70" t="s">
        <v>22</v>
      </c>
      <c r="H3" s="70" t="s">
        <v>210</v>
      </c>
      <c r="I3" s="70" t="s">
        <v>211</v>
      </c>
      <c r="J3" s="70" t="s">
        <v>6</v>
      </c>
      <c r="K3" s="70" t="s">
        <v>22</v>
      </c>
      <c r="M3" s="70" t="s">
        <v>210</v>
      </c>
      <c r="N3" s="70" t="s">
        <v>211</v>
      </c>
      <c r="O3" s="70" t="s">
        <v>6</v>
      </c>
      <c r="P3" s="70" t="s">
        <v>22</v>
      </c>
    </row>
    <row r="4" spans="2:16" x14ac:dyDescent="0.3">
      <c r="B4">
        <v>1</v>
      </c>
      <c r="C4" s="71">
        <v>2016</v>
      </c>
      <c r="D4" s="73" cm="1">
        <f t="array" ref="D4:D13">TRANSPOSE('Data Sheet'!B17:K17)</f>
        <v>272583</v>
      </c>
      <c r="H4">
        <v>1</v>
      </c>
      <c r="I4" s="71">
        <v>2016</v>
      </c>
      <c r="J4" s="73" cm="1">
        <f t="array" ref="J4:J13">TRANSPOSE( 'HISTORICAL FC'!C18:L18)</f>
        <v>41781</v>
      </c>
      <c r="M4">
        <v>1</v>
      </c>
      <c r="N4" s="71">
        <v>2016</v>
      </c>
      <c r="O4" s="73" cm="1">
        <f t="array" ref="O4:O13">TRANSPOSE('HISTORICAL FC'!C39:L39)</f>
        <v>12.765264939461009</v>
      </c>
    </row>
    <row r="5" spans="2:16" x14ac:dyDescent="0.3">
      <c r="B5">
        <v>2</v>
      </c>
      <c r="C5" s="71">
        <v>2017</v>
      </c>
      <c r="D5" s="73">
        <v>303954</v>
      </c>
      <c r="E5" s="58">
        <f>D5/D4-1</f>
        <v>0.11508788148930793</v>
      </c>
      <c r="H5">
        <v>2</v>
      </c>
      <c r="I5" s="71">
        <v>2017</v>
      </c>
      <c r="J5" s="73">
        <v>46307</v>
      </c>
      <c r="K5" s="58">
        <f>J5/J4-1</f>
        <v>0.10832675139417436</v>
      </c>
      <c r="M5">
        <v>2</v>
      </c>
      <c r="N5" s="71">
        <v>2017</v>
      </c>
      <c r="O5" s="73">
        <v>14.857773100157148</v>
      </c>
      <c r="P5" s="58">
        <f>O5/O4-1</f>
        <v>0.16392203143607387</v>
      </c>
    </row>
    <row r="6" spans="2:16" x14ac:dyDescent="0.3">
      <c r="B6">
        <v>3</v>
      </c>
      <c r="C6" s="71">
        <v>2018</v>
      </c>
      <c r="D6" s="73">
        <v>390823</v>
      </c>
      <c r="E6" s="58">
        <f t="shared" ref="E6:E17" si="0">D6/D5-1</f>
        <v>0.28579653500200686</v>
      </c>
      <c r="H6">
        <v>3</v>
      </c>
      <c r="I6" s="71">
        <v>2018</v>
      </c>
      <c r="J6" s="73">
        <v>64315</v>
      </c>
      <c r="K6" s="58">
        <f t="shared" ref="K6:K17" si="1">J6/J5-1</f>
        <v>0.38888289027576817</v>
      </c>
      <c r="M6">
        <v>3</v>
      </c>
      <c r="N6" s="71">
        <v>2018</v>
      </c>
      <c r="O6" s="73">
        <v>19.395585286260811</v>
      </c>
      <c r="P6" s="58">
        <f t="shared" ref="P6:P17" si="2">O6/O5-1</f>
        <v>0.30541671053353658</v>
      </c>
    </row>
    <row r="7" spans="2:16" x14ac:dyDescent="0.3">
      <c r="B7">
        <v>4</v>
      </c>
      <c r="C7" s="71">
        <v>2019</v>
      </c>
      <c r="D7" s="73">
        <v>568337</v>
      </c>
      <c r="E7" s="58">
        <f t="shared" si="0"/>
        <v>0.45420561225925793</v>
      </c>
      <c r="H7">
        <v>4</v>
      </c>
      <c r="I7" s="71">
        <v>2019</v>
      </c>
      <c r="J7" s="73">
        <v>84250</v>
      </c>
      <c r="K7" s="58">
        <f t="shared" si="1"/>
        <v>0.3099587965482391</v>
      </c>
      <c r="M7">
        <v>4</v>
      </c>
      <c r="N7" s="71">
        <v>2019</v>
      </c>
      <c r="O7" s="73">
        <v>23.243311197550767</v>
      </c>
      <c r="P7" s="58">
        <f t="shared" si="2"/>
        <v>0.19838153138980319</v>
      </c>
    </row>
    <row r="8" spans="2:16" x14ac:dyDescent="0.3">
      <c r="B8">
        <v>5</v>
      </c>
      <c r="C8" s="71">
        <v>2020</v>
      </c>
      <c r="D8" s="73">
        <v>596679</v>
      </c>
      <c r="E8" s="58">
        <f t="shared" si="0"/>
        <v>4.9868299969912266E-2</v>
      </c>
      <c r="H8">
        <v>5</v>
      </c>
      <c r="I8" s="71">
        <v>2020</v>
      </c>
      <c r="J8" s="73">
        <v>89266</v>
      </c>
      <c r="K8" s="58">
        <f t="shared" si="1"/>
        <v>5.9537091988130619E-2</v>
      </c>
      <c r="M8">
        <v>5</v>
      </c>
      <c r="N8" s="71">
        <v>2020</v>
      </c>
      <c r="O8" s="73">
        <v>23.151948061551206</v>
      </c>
      <c r="P8" s="58">
        <f t="shared" si="2"/>
        <v>-3.930728080136392E-3</v>
      </c>
    </row>
    <row r="9" spans="2:16" x14ac:dyDescent="0.3">
      <c r="B9">
        <v>6</v>
      </c>
      <c r="C9" s="71">
        <v>2021</v>
      </c>
      <c r="D9" s="73">
        <v>466307</v>
      </c>
      <c r="E9" s="58">
        <f t="shared" si="0"/>
        <v>-0.21849604226057895</v>
      </c>
      <c r="H9">
        <v>6</v>
      </c>
      <c r="I9" s="71">
        <v>2021</v>
      </c>
      <c r="J9" s="73">
        <v>80790</v>
      </c>
      <c r="K9" s="58">
        <f t="shared" si="1"/>
        <v>-9.4952165438128788E-2</v>
      </c>
      <c r="M9">
        <v>6</v>
      </c>
      <c r="N9" s="71">
        <v>2021</v>
      </c>
      <c r="O9" s="73">
        <v>24.692205159753605</v>
      </c>
      <c r="P9" s="58">
        <f t="shared" si="2"/>
        <v>6.6528185624272762E-2</v>
      </c>
    </row>
    <row r="10" spans="2:16" x14ac:dyDescent="0.3">
      <c r="B10">
        <v>7</v>
      </c>
      <c r="C10" s="71">
        <v>2022</v>
      </c>
      <c r="D10" s="73">
        <v>694673</v>
      </c>
      <c r="E10" s="58">
        <f t="shared" si="0"/>
        <v>0.48973315862725619</v>
      </c>
      <c r="H10">
        <v>7</v>
      </c>
      <c r="I10" s="71">
        <v>2022</v>
      </c>
      <c r="J10" s="73">
        <v>108581</v>
      </c>
      <c r="K10" s="58">
        <f t="shared" si="1"/>
        <v>0.34399059289516032</v>
      </c>
      <c r="M10">
        <v>7</v>
      </c>
      <c r="N10" s="71">
        <v>2022</v>
      </c>
      <c r="O10" s="73">
        <v>35.658324587207495</v>
      </c>
      <c r="P10" s="58">
        <f t="shared" si="2"/>
        <v>0.44411259976601114</v>
      </c>
    </row>
    <row r="11" spans="2:16" x14ac:dyDescent="0.3">
      <c r="B11">
        <v>8</v>
      </c>
      <c r="C11" s="71">
        <v>2023</v>
      </c>
      <c r="D11" s="73">
        <v>876396</v>
      </c>
      <c r="E11" s="58">
        <f t="shared" si="0"/>
        <v>0.26159502384575184</v>
      </c>
      <c r="H11">
        <v>8</v>
      </c>
      <c r="I11" s="71">
        <v>2023</v>
      </c>
      <c r="J11" s="73">
        <v>142318</v>
      </c>
      <c r="K11" s="58">
        <f t="shared" si="1"/>
        <v>0.31070813494073546</v>
      </c>
      <c r="M11">
        <v>8</v>
      </c>
      <c r="N11" s="71">
        <v>2023</v>
      </c>
      <c r="O11" s="73">
        <v>45.870284971029918</v>
      </c>
      <c r="P11" s="58">
        <f t="shared" si="2"/>
        <v>0.28638362856470234</v>
      </c>
    </row>
    <row r="12" spans="2:16" x14ac:dyDescent="0.3">
      <c r="B12">
        <v>9</v>
      </c>
      <c r="C12" s="71">
        <v>2024</v>
      </c>
      <c r="D12" s="73">
        <v>899041</v>
      </c>
      <c r="E12" s="58">
        <f t="shared" si="0"/>
        <v>2.5838776078393799E-2</v>
      </c>
      <c r="H12">
        <v>9</v>
      </c>
      <c r="I12" s="71">
        <v>2024</v>
      </c>
      <c r="J12" s="73">
        <v>162498</v>
      </c>
      <c r="K12" s="58">
        <f t="shared" si="1"/>
        <v>0.14179513483888195</v>
      </c>
      <c r="M12">
        <v>9</v>
      </c>
      <c r="N12" s="71">
        <v>2024</v>
      </c>
      <c r="O12" s="73">
        <v>46.440870863325301</v>
      </c>
      <c r="P12" s="58">
        <f t="shared" si="2"/>
        <v>1.243911810567E-2</v>
      </c>
    </row>
    <row r="13" spans="2:16" x14ac:dyDescent="0.3">
      <c r="B13">
        <v>10</v>
      </c>
      <c r="C13" s="71">
        <v>2025</v>
      </c>
      <c r="D13" s="73">
        <v>962820</v>
      </c>
      <c r="E13" s="58">
        <f t="shared" si="0"/>
        <v>7.0941147289167006E-2</v>
      </c>
      <c r="H13">
        <v>10</v>
      </c>
      <c r="I13" s="71">
        <v>2025</v>
      </c>
      <c r="J13" s="73">
        <v>165598</v>
      </c>
      <c r="K13" s="58">
        <f t="shared" si="1"/>
        <v>1.9077157872712247E-2</v>
      </c>
      <c r="M13">
        <v>10</v>
      </c>
      <c r="N13" s="71">
        <v>2025</v>
      </c>
      <c r="O13" s="73">
        <v>46.527593035972927</v>
      </c>
      <c r="P13" s="58">
        <f t="shared" si="2"/>
        <v>1.8673674940947738E-3</v>
      </c>
    </row>
    <row r="14" spans="2:16" x14ac:dyDescent="0.3">
      <c r="B14" s="74">
        <v>11</v>
      </c>
      <c r="C14" s="75">
        <v>2026</v>
      </c>
      <c r="D14" s="76">
        <f>FORECAST(B14,_xlfn.ANCHORARRAY($D$4),$B$4:$B$13)</f>
        <v>1038302.7333333334</v>
      </c>
      <c r="E14" s="77">
        <f t="shared" si="0"/>
        <v>7.8397554406154146E-2</v>
      </c>
      <c r="H14" s="74">
        <v>11</v>
      </c>
      <c r="I14" s="75">
        <v>2026</v>
      </c>
      <c r="J14" s="76">
        <f>FORECAST(H14,_xlfn.ANCHORARRAY($J$4),$H$4:$H$13)</f>
        <v>177977.8</v>
      </c>
      <c r="K14" s="77">
        <f t="shared" si="1"/>
        <v>7.4758149253010275E-2</v>
      </c>
      <c r="M14" s="74">
        <v>11</v>
      </c>
      <c r="N14" s="75">
        <v>2026</v>
      </c>
      <c r="O14" s="76">
        <f>FORECAST(M14,_xlfn.ANCHORARRAY($O$4),$M$4:$M$13)</f>
        <v>52.463697216953761</v>
      </c>
      <c r="P14" s="77">
        <f t="shared" si="2"/>
        <v>0.1275824471812097</v>
      </c>
    </row>
    <row r="15" spans="2:16" x14ac:dyDescent="0.3">
      <c r="B15" s="74">
        <v>12</v>
      </c>
      <c r="C15" s="75">
        <v>2027</v>
      </c>
      <c r="D15" s="76">
        <f t="shared" ref="D15:D17" si="3">FORECAST(B15,_xlfn.ANCHORARRAY($D$4),$B$4:$B$13)</f>
        <v>1117419.3575757577</v>
      </c>
      <c r="E15" s="77">
        <f t="shared" si="0"/>
        <v>7.619803136646941E-2</v>
      </c>
      <c r="H15" s="74">
        <v>12</v>
      </c>
      <c r="I15" s="75">
        <v>2027</v>
      </c>
      <c r="J15" s="76">
        <f t="shared" ref="J15:J17" si="4">FORECAST(H15,_xlfn.ANCHORARRAY($J$4),$H$4:$H$13)</f>
        <v>192415.50909090909</v>
      </c>
      <c r="K15" s="77">
        <f t="shared" si="1"/>
        <v>8.1120842548391359E-2</v>
      </c>
      <c r="M15" s="74">
        <v>12</v>
      </c>
      <c r="N15" s="75">
        <v>2027</v>
      </c>
      <c r="O15" s="76">
        <f t="shared" ref="O15:O17" si="5">FORECAST(M15,_xlfn.ANCHORARRAY($O$4),$M$4:$M$13)</f>
        <v>56.682493779994985</v>
      </c>
      <c r="P15" s="77">
        <f t="shared" si="2"/>
        <v>8.0413634319273841E-2</v>
      </c>
    </row>
    <row r="16" spans="2:16" x14ac:dyDescent="0.3">
      <c r="B16" s="74">
        <v>13</v>
      </c>
      <c r="C16" s="75">
        <v>2028</v>
      </c>
      <c r="D16" s="76">
        <f t="shared" si="3"/>
        <v>1196535.9818181819</v>
      </c>
      <c r="E16" s="77">
        <f t="shared" si="0"/>
        <v>7.0802983415347187E-2</v>
      </c>
      <c r="H16" s="74">
        <v>13</v>
      </c>
      <c r="I16" s="75">
        <v>2028</v>
      </c>
      <c r="J16" s="76">
        <f t="shared" si="4"/>
        <v>206853.2181818182</v>
      </c>
      <c r="K16" s="77">
        <f t="shared" si="1"/>
        <v>7.5034019654246498E-2</v>
      </c>
      <c r="M16" s="74">
        <v>13</v>
      </c>
      <c r="N16" s="75">
        <v>2028</v>
      </c>
      <c r="O16" s="76">
        <f t="shared" si="5"/>
        <v>60.901290343036223</v>
      </c>
      <c r="P16" s="77">
        <f t="shared" si="2"/>
        <v>7.442856306597756E-2</v>
      </c>
    </row>
    <row r="17" spans="2:16" x14ac:dyDescent="0.3">
      <c r="B17" s="74">
        <v>14</v>
      </c>
      <c r="C17" s="75">
        <v>2029</v>
      </c>
      <c r="D17" s="76">
        <f t="shared" si="3"/>
        <v>1275652.606060606</v>
      </c>
      <c r="E17" s="77">
        <f t="shared" si="0"/>
        <v>6.6121391621005277E-2</v>
      </c>
      <c r="H17" s="74">
        <v>14</v>
      </c>
      <c r="I17" s="75">
        <v>2029</v>
      </c>
      <c r="J17" s="76">
        <f t="shared" si="4"/>
        <v>221290.92727272728</v>
      </c>
      <c r="K17" s="77">
        <f t="shared" si="1"/>
        <v>6.9796879245159982E-2</v>
      </c>
      <c r="M17" s="74">
        <v>14</v>
      </c>
      <c r="N17" s="75">
        <v>2029</v>
      </c>
      <c r="O17" s="76">
        <f t="shared" si="5"/>
        <v>65.120086906077447</v>
      </c>
      <c r="P17" s="77">
        <f t="shared" si="2"/>
        <v>6.9272695853867416E-2</v>
      </c>
    </row>
    <row r="18" spans="2:16" x14ac:dyDescent="0.3">
      <c r="C18" s="72"/>
    </row>
    <row r="19" spans="2:16" x14ac:dyDescent="0.3">
      <c r="C19" s="72"/>
    </row>
    <row r="20" spans="2:16" x14ac:dyDescent="0.3">
      <c r="C20" s="72"/>
    </row>
  </sheetData>
  <mergeCells count="3">
    <mergeCell ref="B2:E2"/>
    <mergeCell ref="H2:K2"/>
    <mergeCell ref="M2:P2"/>
  </mergeCells>
  <pageMargins left="0.7" right="0.7" top="0.75" bottom="0.75" header="0.3" footer="0.3"/>
  <pageSetup scale="5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787D0-EE8D-4EDB-9B63-F3C456947B10}">
  <sheetPr>
    <tabColor rgb="FF00B050"/>
  </sheetPr>
  <dimension ref="B1:O52"/>
  <sheetViews>
    <sheetView showGridLines="0" workbookViewId="0">
      <pane xSplit="1" ySplit="3" topLeftCell="B31" activePane="bottomRight" state="frozen"/>
      <selection pane="topRight" activeCell="B1" sqref="B1"/>
      <selection pane="bottomLeft" activeCell="A4" sqref="A4"/>
      <selection pane="bottomRight" activeCell="A10" sqref="A10:XFD10"/>
    </sheetView>
  </sheetViews>
  <sheetFormatPr defaultRowHeight="14.4" x14ac:dyDescent="0.3"/>
  <cols>
    <col min="1" max="1" width="2.21875" customWidth="1"/>
    <col min="2" max="2" width="23.88671875" bestFit="1" customWidth="1"/>
    <col min="3" max="12" width="9.44140625" bestFit="1" customWidth="1"/>
    <col min="13" max="13" width="22.44140625" customWidth="1"/>
    <col min="14" max="14" width="9.5546875" bestFit="1" customWidth="1"/>
    <col min="15" max="15" width="12.21875" bestFit="1" customWidth="1"/>
  </cols>
  <sheetData>
    <row r="1" spans="2:15" x14ac:dyDescent="0.3">
      <c r="N1" t="s">
        <v>193</v>
      </c>
    </row>
    <row r="2" spans="2:15" x14ac:dyDescent="0.3">
      <c r="B2" s="90" t="str">
        <f xml:space="preserve"> " Ratio Analysis Of -"&amp;'Data Sheet'!B1</f>
        <v xml:space="preserve"> Ratio Analysis Of -RELIANCE INDUSTRIES LTD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66"/>
    </row>
    <row r="3" spans="2:15" x14ac:dyDescent="0.3">
      <c r="B3" s="53" t="s">
        <v>93</v>
      </c>
      <c r="C3" s="54">
        <f>'Data Sheet'!B56</f>
        <v>42460</v>
      </c>
      <c r="D3" s="54">
        <f>'Data Sheet'!C56</f>
        <v>42825</v>
      </c>
      <c r="E3" s="54">
        <f>'Data Sheet'!D56</f>
        <v>43190</v>
      </c>
      <c r="F3" s="54">
        <f>'Data Sheet'!E56</f>
        <v>43555</v>
      </c>
      <c r="G3" s="54">
        <f>'Data Sheet'!F56</f>
        <v>43921</v>
      </c>
      <c r="H3" s="54">
        <f>'Data Sheet'!G56</f>
        <v>44286</v>
      </c>
      <c r="I3" s="54">
        <f>'Data Sheet'!H56</f>
        <v>44651</v>
      </c>
      <c r="J3" s="54">
        <f>'Data Sheet'!I56</f>
        <v>45016</v>
      </c>
      <c r="K3" s="54">
        <f>'Data Sheet'!J56</f>
        <v>45382</v>
      </c>
      <c r="L3" s="54">
        <f>'Data Sheet'!K56</f>
        <v>45747</v>
      </c>
      <c r="M3" s="59" t="s">
        <v>212</v>
      </c>
      <c r="N3" s="53" t="s">
        <v>208</v>
      </c>
      <c r="O3" s="53" t="s">
        <v>209</v>
      </c>
    </row>
    <row r="4" spans="2:15" s="25" customFormat="1" x14ac:dyDescent="0.3">
      <c r="B4" s="81"/>
      <c r="C4" s="82"/>
      <c r="D4" s="82"/>
      <c r="E4" s="82"/>
      <c r="F4" s="82"/>
      <c r="G4" s="82"/>
      <c r="H4" s="82"/>
      <c r="I4" s="82"/>
      <c r="J4" s="82"/>
      <c r="K4" s="82"/>
      <c r="L4" s="82"/>
      <c r="M4" s="81"/>
      <c r="N4" s="83"/>
      <c r="O4" s="83"/>
    </row>
    <row r="5" spans="2:15" x14ac:dyDescent="0.3">
      <c r="B5" t="s">
        <v>22</v>
      </c>
      <c r="C5" s="80" t="str">
        <f>'HISTORICAL FC'!C7</f>
        <v xml:space="preserve"> </v>
      </c>
      <c r="D5" s="5">
        <f>IFERROR('HISTORICAL FC'!D7,0)</f>
        <v>0.11508788148930793</v>
      </c>
      <c r="E5" s="5">
        <f>IFERROR('HISTORICAL FC'!E7,0)</f>
        <v>0.28579653500200686</v>
      </c>
      <c r="F5" s="5">
        <f>IFERROR('HISTORICAL FC'!F7,0)</f>
        <v>0.45420561225925793</v>
      </c>
      <c r="G5" s="5">
        <f>IFERROR('HISTORICAL FC'!G7,0)</f>
        <v>4.9868299969912266E-2</v>
      </c>
      <c r="H5" s="5">
        <f>IFERROR('HISTORICAL FC'!H7,0)</f>
        <v>-0.21849604226057895</v>
      </c>
      <c r="I5" s="5">
        <f>IFERROR('HISTORICAL FC'!I7,0)</f>
        <v>0.48973315862725619</v>
      </c>
      <c r="J5" s="5">
        <f>IFERROR('HISTORICAL FC'!J7,0)</f>
        <v>0.26159502384575184</v>
      </c>
      <c r="K5" s="5">
        <f>IFERROR('HISTORICAL FC'!K7,0)</f>
        <v>2.5838776078393799E-2</v>
      </c>
      <c r="L5" s="5">
        <f>IFERROR('HISTORICAL FC'!L7,0)</f>
        <v>7.0941147289167006E-2</v>
      </c>
      <c r="N5" s="58">
        <f>IFERROR(AVERAGE(D5:L5),0)</f>
        <v>0.17050782136671941</v>
      </c>
      <c r="O5" s="58">
        <f>IFERROR(MEDIAN(C5:L5),0)</f>
        <v>0.11508788148930793</v>
      </c>
    </row>
    <row r="6" spans="2:15" x14ac:dyDescent="0.3">
      <c r="B6" t="s">
        <v>169</v>
      </c>
      <c r="D6" s="5">
        <f>IFERROR('HISTORICAL FC'!D18/'HISTORICAL FC'!C18-1,0)</f>
        <v>0.10832675139417436</v>
      </c>
      <c r="E6" s="5">
        <f>IFERROR('HISTORICAL FC'!E18/'HISTORICAL FC'!D18-1,0)</f>
        <v>0.38888289027576817</v>
      </c>
      <c r="F6" s="5">
        <f>IFERROR('HISTORICAL FC'!F18/'HISTORICAL FC'!E18-1,0)</f>
        <v>0.3099587965482391</v>
      </c>
      <c r="G6" s="5">
        <f>IFERROR('HISTORICAL FC'!G18/'HISTORICAL FC'!F18-1,0)</f>
        <v>5.9537091988130619E-2</v>
      </c>
      <c r="H6" s="5">
        <f>IFERROR('HISTORICAL FC'!H18/'HISTORICAL FC'!G18-1,0)</f>
        <v>-9.4952165438128788E-2</v>
      </c>
      <c r="I6" s="5">
        <f>IFERROR('HISTORICAL FC'!I18/'HISTORICAL FC'!H18-1,0)</f>
        <v>0.34399059289516032</v>
      </c>
      <c r="J6" s="5">
        <f>IFERROR('HISTORICAL FC'!J18/'HISTORICAL FC'!I18-1,0)</f>
        <v>0.31070813494073546</v>
      </c>
      <c r="K6" s="5">
        <f>IFERROR('HISTORICAL FC'!K18/'HISTORICAL FC'!J18-1,0)</f>
        <v>0.14179513483888195</v>
      </c>
      <c r="L6" s="5">
        <f>IFERROR('HISTORICAL FC'!L18/'HISTORICAL FC'!K18-1,0)</f>
        <v>1.9077157872712247E-2</v>
      </c>
      <c r="N6" s="58">
        <f t="shared" ref="N6:N9" si="0">IFERROR(AVERAGE(D6:L6),0)</f>
        <v>0.17636937614618595</v>
      </c>
      <c r="O6" s="58">
        <f t="shared" ref="O6:O52" si="1">IFERROR(MEDIAN(C6:L6),0)</f>
        <v>0.14179513483888195</v>
      </c>
    </row>
    <row r="7" spans="2:15" x14ac:dyDescent="0.3">
      <c r="B7" t="s">
        <v>192</v>
      </c>
      <c r="D7" s="5">
        <f>IFERROR('HISTORICAL FC'!D27/'HISTORICAL FC'!C27-1,0)</f>
        <v>0.1616211121583413</v>
      </c>
      <c r="E7" s="5">
        <f>IFERROR('HISTORICAL FC'!E27/'HISTORICAL FC'!D27-1,0)</f>
        <v>0.28381799298974419</v>
      </c>
      <c r="F7" s="5">
        <f>IFERROR('HISTORICAL FC'!F27/'HISTORICAL FC'!E27-1,0)</f>
        <v>0.18363374371160601</v>
      </c>
      <c r="G7" s="5">
        <f>IFERROR('HISTORICAL FC'!G27/'HISTORICAL FC'!F27-1,0)</f>
        <v>-3.8123918754405128E-2</v>
      </c>
      <c r="H7" s="5">
        <f>IFERROR('HISTORICAL FC'!H27/'HISTORICAL FC'!G27-1,0)</f>
        <v>-0.26660893507416294</v>
      </c>
      <c r="I7" s="5">
        <f>IFERROR('HISTORICAL FC'!I27/'HISTORICAL FC'!H27-1,0)</f>
        <v>0.94420055103091216</v>
      </c>
      <c r="J7" s="5">
        <f>IFERROR('HISTORICAL FC'!J27/'HISTORICAL FC'!I27-1,0)</f>
        <v>0.28387448415479244</v>
      </c>
      <c r="K7" s="5">
        <f>IFERROR('HISTORICAL FC'!K27/'HISTORICAL FC'!J27-1,0)</f>
        <v>7.4038134976468939E-2</v>
      </c>
      <c r="L7" s="5">
        <f>IFERROR('HISTORICAL FC'!L27/'HISTORICAL FC'!K27-1,0)</f>
        <v>-4.0091249943533525E-3</v>
      </c>
      <c r="N7" s="58">
        <f t="shared" si="0"/>
        <v>0.18027156002210484</v>
      </c>
      <c r="O7" s="58">
        <f t="shared" si="1"/>
        <v>0.1616211121583413</v>
      </c>
    </row>
    <row r="8" spans="2:15" x14ac:dyDescent="0.3">
      <c r="B8" t="s">
        <v>197</v>
      </c>
      <c r="D8" s="5">
        <f>IFERROR('HISTORICAL FC'!D33/'HISTORICAL FC'!C33-1,0)</f>
        <v>0.16782820556405453</v>
      </c>
      <c r="E8" s="5">
        <f>IFERROR('HISTORICAL FC'!E33/'HISTORICAL FC'!D33-1,0)</f>
        <v>0.27169957789529864</v>
      </c>
      <c r="F8" s="5">
        <f>IFERROR('HISTORICAL FC'!F33/'HISTORICAL FC'!E33-1,0)</f>
        <v>0.19915302735492735</v>
      </c>
      <c r="G8" s="5">
        <f>IFERROR('HISTORICAL FC'!G33/'HISTORICAL FC'!F33-1,0)</f>
        <v>-3.8497025229868864E-3</v>
      </c>
      <c r="H8" s="5">
        <f>IFERROR('HISTORICAL FC'!H33/'HISTORICAL FC'!G33-1,0)</f>
        <v>-9.5816033216178376E-5</v>
      </c>
      <c r="I8" s="5">
        <f>IFERROR('HISTORICAL FC'!I33/'HISTORICAL FC'!H33-1,0)</f>
        <v>0.54102916280704005</v>
      </c>
      <c r="J8" s="5">
        <f>IFERROR('HISTORICAL FC'!J33/'HISTORICAL FC'!I33-1,0)</f>
        <v>0.2865167374857498</v>
      </c>
      <c r="K8" s="5">
        <f>IFERROR('HISTORICAL FC'!K33/'HISTORICAL FC'!J33-1,0)</f>
        <v>1.2454082619062889E-2</v>
      </c>
      <c r="L8" s="5">
        <f>IFERROR('HISTORICAL FC'!L33/'HISTORICAL FC'!K33-1,0)</f>
        <v>1.941407679699525E-3</v>
      </c>
      <c r="N8" s="58">
        <f t="shared" si="0"/>
        <v>0.16407518698329221</v>
      </c>
      <c r="O8" s="58">
        <f t="shared" si="1"/>
        <v>0.16782820556405453</v>
      </c>
    </row>
    <row r="9" spans="2:15" x14ac:dyDescent="0.3">
      <c r="B9" t="s">
        <v>170</v>
      </c>
      <c r="D9" s="5">
        <f>IFERROR('HISTORICAL FC'!D42/'HISTORICAL FC'!C42-1,0)</f>
        <v>4.8010902693853774E-2</v>
      </c>
      <c r="E9" s="5">
        <f>IFERROR('HISTORICAL FC'!E42/'HISTORICAL FC'!D42-1,0)</f>
        <v>0.12058974503172193</v>
      </c>
      <c r="F9" s="5">
        <f>IFERROR('HISTORICAL FC'!F42/'HISTORICAL FC'!E42-1,0)</f>
        <v>8.3367615983582111E-2</v>
      </c>
      <c r="G9" s="5">
        <f>IFERROR('HISTORICAL FC'!G42/'HISTORICAL FC'!F42-1,0)</f>
        <v>6.9605871424865962E-2</v>
      </c>
      <c r="H9" s="5">
        <f>IFERROR('HISTORICAL FC'!H42/'HISTORICAL FC'!G42-1,0)</f>
        <v>0.16788694796885184</v>
      </c>
      <c r="I9" s="5">
        <f>IFERROR('HISTORICAL FC'!I42/'HISTORICAL FC'!H42-1,0)</f>
        <v>0.12415714701001423</v>
      </c>
      <c r="J9" s="5">
        <f>IFERROR('HISTORICAL FC'!J42/'HISTORICAL FC'!I42-1,0)</f>
        <v>0.12504988225291025</v>
      </c>
      <c r="K9" s="5">
        <f>IFERROR('HISTORICAL FC'!K42/'HISTORICAL FC'!J42-1,0)</f>
        <v>0.11109468840376202</v>
      </c>
      <c r="L9" s="5">
        <f>IFERROR('HISTORICAL FC'!L34/'HISTORICAL FC'!K34-1,0)</f>
        <v>-6.4429067632823522E-2</v>
      </c>
      <c r="N9" s="58">
        <f t="shared" si="0"/>
        <v>8.7259303681859843E-2</v>
      </c>
      <c r="O9" s="58">
        <f t="shared" si="1"/>
        <v>0.11109468840376202</v>
      </c>
    </row>
    <row r="10" spans="2:15" x14ac:dyDescent="0.3"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86"/>
    </row>
    <row r="11" spans="2:15" x14ac:dyDescent="0.3">
      <c r="B11" t="s">
        <v>168</v>
      </c>
      <c r="C11" s="58">
        <f>IFERROR('HISTORICAL FC'!C13,0)</f>
        <v>0.21039096348635095</v>
      </c>
      <c r="D11" s="58">
        <f>IFERROR('HISTORICAL FC'!D13,0)</f>
        <v>0.20432697052843524</v>
      </c>
      <c r="E11" s="58">
        <f>IFERROR('HISTORICAL FC'!E13,0)</f>
        <v>0.22919326651706784</v>
      </c>
      <c r="F11" s="58">
        <f>IFERROR('HISTORICAL FC'!F13,0)</f>
        <v>0.23249410121107722</v>
      </c>
      <c r="G11" s="58">
        <f>IFERROR('HISTORICAL FC'!G13,0)</f>
        <v>0.25278583627042345</v>
      </c>
      <c r="H11" s="58">
        <f>IFERROR('HISTORICAL FC'!H13,0)</f>
        <v>0.29570218761459727</v>
      </c>
      <c r="I11" s="58">
        <f>IFERROR('HISTORICAL FC'!I13,0)</f>
        <v>0.24881778908925495</v>
      </c>
      <c r="J11" s="58">
        <f>IFERROR('HISTORICAL FC'!J13,0)</f>
        <v>0.24911227344716316</v>
      </c>
      <c r="K11" s="58">
        <f>IFERROR('HISTORICAL FC'!K13,0)</f>
        <v>0.27541124375862724</v>
      </c>
      <c r="L11" s="58">
        <f>IFERROR('HISTORICAL FC'!L13,0)</f>
        <v>0.27252342078477804</v>
      </c>
      <c r="M11" s="63"/>
      <c r="N11" s="63">
        <f>IFERROR(AVERAGE(C11:L11),0)</f>
        <v>0.24707580527077755</v>
      </c>
      <c r="O11" s="58">
        <f t="shared" si="1"/>
        <v>0.24896503126820907</v>
      </c>
    </row>
    <row r="12" spans="2:15" x14ac:dyDescent="0.3">
      <c r="B12" t="s">
        <v>169</v>
      </c>
      <c r="C12" s="58">
        <f>IFERROR('HISTORICAL FC'!C19,0)</f>
        <v>0.15327808410649232</v>
      </c>
      <c r="D12" s="58">
        <f>IFERROR('HISTORICAL FC'!D19,0)</f>
        <v>0.15234871066016567</v>
      </c>
      <c r="E12" s="58">
        <f>IFERROR('HISTORICAL FC'!E19,0)</f>
        <v>0.16456298631349742</v>
      </c>
      <c r="F12" s="58">
        <f>IFERROR('HISTORICAL FC'!F19,0)</f>
        <v>0.14823951282425743</v>
      </c>
      <c r="G12" s="58">
        <f>IFERROR('HISTORICAL FC'!G19,0)</f>
        <v>0.1496047288408005</v>
      </c>
      <c r="H12" s="58">
        <f>IFERROR('HISTORICAL FC'!H19,0)</f>
        <v>0.17325495864312568</v>
      </c>
      <c r="I12" s="58">
        <f>IFERROR('HISTORICAL FC'!I19,0)</f>
        <v>0.15630519683361813</v>
      </c>
      <c r="J12" s="58">
        <f>IFERROR('HISTORICAL FC'!J19,0)</f>
        <v>0.16239006111392568</v>
      </c>
      <c r="K12" s="58">
        <f>IFERROR('HISTORICAL FC'!K19,0)</f>
        <v>0.18074592816122959</v>
      </c>
      <c r="L12" s="58">
        <f>IFERROR('HISTORICAL FC'!L19,0)</f>
        <v>0.17199268814524002</v>
      </c>
      <c r="M12" s="63"/>
      <c r="N12" s="63">
        <f t="shared" ref="N12:N52" si="2">IFERROR(AVERAGE(C12:L12),0)</f>
        <v>0.16127228556423526</v>
      </c>
      <c r="O12" s="58">
        <f t="shared" si="1"/>
        <v>0.15934762897377192</v>
      </c>
    </row>
    <row r="13" spans="2:15" x14ac:dyDescent="0.3">
      <c r="B13" t="s">
        <v>181</v>
      </c>
      <c r="C13" s="58">
        <f>IFERROR(('HISTORICAL FC'!C18-'HISTORICAL FC'!C24)/'HISTORICAL FC'!C6,0)</f>
        <v>0.11085063998855395</v>
      </c>
      <c r="D13" s="58">
        <f>IFERROR(('HISTORICAL FC'!D18-'HISTORICAL FC'!D24)/'HISTORICAL FC'!D6,0)</f>
        <v>0.11403370246813663</v>
      </c>
      <c r="E13" s="58">
        <f>IFERROR(('HISTORICAL FC'!E18-'HISTORICAL FC'!E24)/'HISTORICAL FC'!E6,0)</f>
        <v>0.12181729325039724</v>
      </c>
      <c r="F13" s="58">
        <f>IFERROR(('HISTORICAL FC'!F18-'HISTORICAL FC'!F24)/'HISTORICAL FC'!F6,0)</f>
        <v>0.11140573286623957</v>
      </c>
      <c r="G13" s="58">
        <f>IFERROR(('HISTORICAL FC'!G18-'HISTORICAL FC'!G24)/'HISTORICAL FC'!G6,0)</f>
        <v>0.11239376616237541</v>
      </c>
      <c r="H13" s="58">
        <f>IFERROR(('HISTORICAL FC'!H18-'HISTORICAL FC'!H24)/'HISTORICAL FC'!H6,0)</f>
        <v>0.11627104032322054</v>
      </c>
      <c r="I13" s="58">
        <f>IFERROR(('HISTORICAL FC'!I18-'HISTORICAL FC'!I24)/'HISTORICAL FC'!I6,0)</f>
        <v>0.11343322685637702</v>
      </c>
      <c r="J13" s="58">
        <f>IFERROR(('HISTORICAL FC'!J18-'HISTORICAL FC'!J24)/'HISTORICAL FC'!J6,0)</f>
        <v>0.11640285898155628</v>
      </c>
      <c r="K13" s="58">
        <f>IFERROR(('HISTORICAL FC'!K18-'HISTORICAL FC'!K24)/'HISTORICAL FC'!K6,0)</f>
        <v>0.12420568138716699</v>
      </c>
      <c r="L13" s="58">
        <f>IFERROR(('HISTORICAL FC'!L18-'HISTORICAL FC'!L24)/'HISTORICAL FC'!L6,0)</f>
        <v>0.11680480255914917</v>
      </c>
      <c r="M13" s="63"/>
      <c r="N13" s="63">
        <f t="shared" si="2"/>
        <v>0.1157618744843173</v>
      </c>
      <c r="O13" s="58">
        <f t="shared" si="1"/>
        <v>0.11515237139567858</v>
      </c>
    </row>
    <row r="14" spans="2:15" x14ac:dyDescent="0.3">
      <c r="B14" t="s">
        <v>171</v>
      </c>
      <c r="C14" s="58">
        <f>IFERROR('HISTORICAL FC'!C28,0)</f>
        <v>9.7309810222941273E-2</v>
      </c>
      <c r="D14" s="58">
        <f>IFERROR('HISTORICAL FC'!D28,0)</f>
        <v>0.10137060213058555</v>
      </c>
      <c r="E14" s="58">
        <f>IFERROR('HISTORICAL FC'!E28,0)</f>
        <v>0.10121461633527198</v>
      </c>
      <c r="F14" s="58">
        <f>IFERROR('HISTORICAL FC'!F28,0)</f>
        <v>8.238245970260602E-2</v>
      </c>
      <c r="G14" s="58">
        <f>IFERROR('HISTORICAL FC'!G28,0)</f>
        <v>7.5477769453927493E-2</v>
      </c>
      <c r="H14" s="58">
        <f>IFERROR('HISTORICAL FC'!H28,0)</f>
        <v>7.0831019049681865E-2</v>
      </c>
      <c r="I14" s="58">
        <f>IFERROR('HISTORICAL FC'!I28,0)</f>
        <v>9.2439176418257218E-2</v>
      </c>
      <c r="J14" s="58">
        <f>IFERROR('HISTORICAL FC'!J28,0)</f>
        <v>9.4071629719898311E-2</v>
      </c>
      <c r="K14" s="58">
        <f>IFERROR('HISTORICAL FC'!K28,0)</f>
        <v>9.8491614954156703E-2</v>
      </c>
      <c r="L14" s="58">
        <f>IFERROR('HISTORICAL FC'!L28,0)</f>
        <v>9.1598637336158362E-2</v>
      </c>
      <c r="M14" s="63"/>
      <c r="N14" s="63">
        <f t="shared" si="2"/>
        <v>9.0518733532348489E-2</v>
      </c>
      <c r="O14" s="58">
        <f t="shared" si="1"/>
        <v>9.3255403069077758E-2</v>
      </c>
    </row>
    <row r="15" spans="2:15" x14ac:dyDescent="0.3">
      <c r="B15" t="s">
        <v>172</v>
      </c>
      <c r="C15" s="58">
        <f>IFERROR('HISTORICAL FC'!C34,0)</f>
        <v>6.4747251295935546E-2</v>
      </c>
      <c r="D15" s="58">
        <f>IFERROR('HISTORICAL FC'!D34,0)</f>
        <v>6.7809602768840016E-2</v>
      </c>
      <c r="E15" s="58">
        <f>IFERROR('HISTORICAL FC'!E34,0)</f>
        <v>6.7066165502030331E-2</v>
      </c>
      <c r="F15" s="58">
        <f>IFERROR('HISTORICAL FC'!F34,0)</f>
        <v>5.5303455520228313E-2</v>
      </c>
      <c r="G15" s="58">
        <f>IFERROR('HISTORICAL FC'!G34,0)</f>
        <v>5.247377568173172E-2</v>
      </c>
      <c r="H15" s="58">
        <f>IFERROR('HISTORICAL FC'!H34,0)</f>
        <v>6.7138172920415087E-2</v>
      </c>
      <c r="I15" s="58">
        <f>IFERROR('HISTORICAL FC'!I34,0)</f>
        <v>6.944994263488001E-2</v>
      </c>
      <c r="J15" s="58">
        <f>IFERROR('HISTORICAL FC'!J34,0)</f>
        <v>7.0821865914495269E-2</v>
      </c>
      <c r="K15" s="58">
        <f>IFERROR('HISTORICAL FC'!K34,0)</f>
        <v>6.9897813336655387E-2</v>
      </c>
      <c r="L15" s="58">
        <f>IFERROR('HISTORICAL FC'!L34,0)</f>
        <v>6.5394362393801544E-2</v>
      </c>
      <c r="M15" s="63"/>
      <c r="N15" s="63">
        <f t="shared" si="2"/>
        <v>6.501024079690132E-2</v>
      </c>
      <c r="O15" s="58">
        <f t="shared" si="1"/>
        <v>6.7102169211222709E-2</v>
      </c>
    </row>
    <row r="16" spans="2:15" x14ac:dyDescent="0.3"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86"/>
      <c r="O16" s="86"/>
    </row>
    <row r="17" spans="2:15" x14ac:dyDescent="0.3">
      <c r="B17" t="s">
        <v>173</v>
      </c>
      <c r="C17" s="63">
        <f>IFERROR('HISTORICAL FC'!C16,0)</f>
        <v>5.7112879379858615E-2</v>
      </c>
      <c r="D17" s="63">
        <f>IFERROR('HISTORICAL FC'!D16,0)</f>
        <v>5.1978259868269538E-2</v>
      </c>
      <c r="E17" s="63">
        <f>IFERROR('HISTORICAL FC'!E16,0)</f>
        <v>6.4630280203570409E-2</v>
      </c>
      <c r="F17" s="63">
        <f>IFERROR('HISTORICAL FC'!F16,0)</f>
        <v>8.425458838681979E-2</v>
      </c>
      <c r="G17" s="63">
        <f>IFERROR('HISTORICAL FC'!G16,0)</f>
        <v>0.10318110742962296</v>
      </c>
      <c r="H17" s="63">
        <f>IFERROR('HISTORICAL FC'!H16,0)</f>
        <v>0.12244722897147159</v>
      </c>
      <c r="I17" s="63">
        <f>IFERROR('HISTORICAL FC'!I16,0)</f>
        <v>9.2512592255636822E-2</v>
      </c>
      <c r="J17" s="63">
        <f>IFERROR('HISTORICAL FC'!J16,0)</f>
        <v>8.6722212333237486E-2</v>
      </c>
      <c r="K17" s="63">
        <f>IFERROR('HISTORICAL FC'!K16,0)</f>
        <v>9.4665315597397673E-2</v>
      </c>
      <c r="L17" s="63">
        <f>IFERROR('HISTORICAL FC'!L16,0)</f>
        <v>0.10053073263953802</v>
      </c>
      <c r="M17" s="63"/>
      <c r="N17" s="63">
        <f t="shared" si="2"/>
        <v>8.5803519706542292E-2</v>
      </c>
      <c r="O17" s="58">
        <f t="shared" si="1"/>
        <v>8.9617402294437154E-2</v>
      </c>
    </row>
    <row r="18" spans="2:15" x14ac:dyDescent="0.3">
      <c r="B18" t="s">
        <v>174</v>
      </c>
      <c r="C18" s="58">
        <f>IFERROR('HISTORICAL FC'!C25,0)</f>
        <v>4.242744411793839E-2</v>
      </c>
      <c r="D18" s="58">
        <f>IFERROR('HISTORICAL FC'!D25,0)</f>
        <v>3.8315008192029057E-2</v>
      </c>
      <c r="E18" s="58">
        <f>IFERROR('HISTORICAL FC'!E25,0)</f>
        <v>4.2745693063100179E-2</v>
      </c>
      <c r="F18" s="58">
        <f>IFERROR('HISTORICAL FC'!F25,0)</f>
        <v>3.6833779958017863E-2</v>
      </c>
      <c r="G18" s="58">
        <f>IFERROR('HISTORICAL FC'!G25,0)</f>
        <v>3.721096267842508E-2</v>
      </c>
      <c r="H18" s="58">
        <f>IFERROR('HISTORICAL FC'!H25,0)</f>
        <v>5.6983918319905125E-2</v>
      </c>
      <c r="I18" s="58">
        <f>IFERROR('HISTORICAL FC'!I25,0)</f>
        <v>4.2871969977241089E-2</v>
      </c>
      <c r="J18" s="58">
        <f>IFERROR('HISTORICAL FC'!J25,0)</f>
        <v>4.5987202132369384E-2</v>
      </c>
      <c r="K18" s="58">
        <f>IFERROR('HISTORICAL FC'!K25,0)</f>
        <v>5.6540246774062587E-2</v>
      </c>
      <c r="L18" s="58">
        <f>IFERROR('HISTORICAL FC'!L25,0)</f>
        <v>5.5187885586090855E-2</v>
      </c>
      <c r="M18" s="63"/>
      <c r="N18" s="63">
        <f t="shared" si="2"/>
        <v>4.5510411079917962E-2</v>
      </c>
      <c r="O18" s="58">
        <f t="shared" si="1"/>
        <v>4.2808831520170634E-2</v>
      </c>
    </row>
    <row r="19" spans="2:15" x14ac:dyDescent="0.3">
      <c r="B19" t="s">
        <v>175</v>
      </c>
      <c r="C19" s="58">
        <f t="shared" ref="C19:L19" si="3">IFERROR(C12,0)</f>
        <v>0.15327808410649232</v>
      </c>
      <c r="D19" s="58">
        <f t="shared" si="3"/>
        <v>0.15234871066016567</v>
      </c>
      <c r="E19" s="58">
        <f t="shared" si="3"/>
        <v>0.16456298631349742</v>
      </c>
      <c r="F19" s="58">
        <f t="shared" si="3"/>
        <v>0.14823951282425743</v>
      </c>
      <c r="G19" s="58">
        <f t="shared" si="3"/>
        <v>0.1496047288408005</v>
      </c>
      <c r="H19" s="58">
        <f t="shared" si="3"/>
        <v>0.17325495864312568</v>
      </c>
      <c r="I19" s="58">
        <f t="shared" si="3"/>
        <v>0.15630519683361813</v>
      </c>
      <c r="J19" s="58">
        <f t="shared" si="3"/>
        <v>0.16239006111392568</v>
      </c>
      <c r="K19" s="58">
        <f t="shared" si="3"/>
        <v>0.18074592816122959</v>
      </c>
      <c r="L19" s="58">
        <f t="shared" si="3"/>
        <v>0.17199268814524002</v>
      </c>
      <c r="M19" s="63"/>
      <c r="N19" s="63">
        <f t="shared" si="2"/>
        <v>0.16127228556423526</v>
      </c>
      <c r="O19" s="58">
        <f t="shared" si="1"/>
        <v>0.15934762897377192</v>
      </c>
    </row>
    <row r="20" spans="2:15" x14ac:dyDescent="0.3"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87"/>
    </row>
    <row r="21" spans="2:15" x14ac:dyDescent="0.3">
      <c r="B21" t="s">
        <v>176</v>
      </c>
      <c r="C21" s="58">
        <f>IFERROR(('HISTORICAL FC'!C18-'HISTORICAL FC'!C24)/(SUM('HISTORICAL FC'!C49:C51)),0)</f>
        <v>7.0884650573580121E-2</v>
      </c>
      <c r="D21" s="58">
        <f>IFERROR(('HISTORICAL FC'!D18-'HISTORICAL FC'!D24)/(SUM('HISTORICAL FC'!D49:D51)),0)</f>
        <v>7.203273591806876E-2</v>
      </c>
      <c r="E21" s="58">
        <f>IFERROR(('HISTORICAL FC'!E18-'HISTORICAL FC'!E24)/(SUM('HISTORICAL FC'!E49:E51)),0)</f>
        <v>8.9264252862572169E-2</v>
      </c>
      <c r="F21" s="58">
        <f>IFERROR(('HISTORICAL FC'!F18-'HISTORICAL FC'!F24)/(SUM('HISTORICAL FC'!F49:F51)),0)</f>
        <v>9.1124972295222109E-2</v>
      </c>
      <c r="G21" s="58">
        <f>IFERROR(('HISTORICAL FC'!G18-'HISTORICAL FC'!G24)/(SUM('HISTORICAL FC'!G49:G51)),0)</f>
        <v>8.3380683054436217E-2</v>
      </c>
      <c r="H21" s="58">
        <f>IFERROR(('HISTORICAL FC'!H18-'HISTORICAL FC'!H24)/(SUM('HISTORICAL FC'!H49:H51)),0)</f>
        <v>5.5373421819689642E-2</v>
      </c>
      <c r="I21" s="58">
        <f>IFERROR(('HISTORICAL FC'!I18-'HISTORICAL FC'!I24)/(SUM('HISTORICAL FC'!I49:I51)),0)</f>
        <v>7.1723935800801539E-2</v>
      </c>
      <c r="J21" s="58">
        <f>IFERROR(('HISTORICAL FC'!J18-'HISTORICAL FC'!J24)/(SUM('HISTORICAL FC'!J49:J51)),0)</f>
        <v>8.737632073015307E-2</v>
      </c>
      <c r="K21" s="58">
        <f>IFERROR(('HISTORICAL FC'!K18-'HISTORICAL FC'!K24)/(SUM('HISTORICAL FC'!K49:K51)),0)</f>
        <v>9.7593078133193498E-2</v>
      </c>
      <c r="L21" s="58">
        <f>IFERROR(('HISTORICAL FC'!L18-'HISTORICAL FC'!L24)/(SUM('HISTORICAL FC'!L49:L51)),0)</f>
        <v>9.2370266272310847E-2</v>
      </c>
      <c r="N21" s="63">
        <f t="shared" si="2"/>
        <v>8.1112431746002786E-2</v>
      </c>
      <c r="O21" s="58">
        <f t="shared" si="1"/>
        <v>8.537850189229465E-2</v>
      </c>
    </row>
    <row r="22" spans="2:15" x14ac:dyDescent="0.3">
      <c r="B22" t="s">
        <v>177</v>
      </c>
      <c r="C22" s="58">
        <f>IFERROR('HISTORICAL FC'!C45,0)</f>
        <v>0.8246132925378209</v>
      </c>
      <c r="D22" s="58">
        <f>IFERROR('HISTORICAL FC'!D45,0)</f>
        <v>0.84207947212653433</v>
      </c>
      <c r="E22" s="58">
        <f>IFERROR('HISTORICAL FC'!E45,0)</f>
        <v>0.86443859448323224</v>
      </c>
      <c r="F22" s="58">
        <f>IFERROR('HISTORICAL FC'!F45,0)</f>
        <v>0.87744901530336294</v>
      </c>
      <c r="G22" s="58">
        <f>IFERROR('HISTORICAL FC'!G45,0)</f>
        <v>0.86840146917917593</v>
      </c>
      <c r="H22" s="58">
        <f>IFERROR('HISTORICAL FC'!H45,0)</f>
        <v>0.85589484779761715</v>
      </c>
      <c r="I22" s="58">
        <f>IFERROR('HISTORICAL FC'!I45,0)</f>
        <v>0.88782257228728367</v>
      </c>
      <c r="J22" s="58">
        <f>IFERROR('HISTORICAL FC'!J45,0)</f>
        <v>0.90189147386737123</v>
      </c>
      <c r="K22" s="58">
        <f>IFERROR('HISTORICAL FC'!K45,0)</f>
        <v>0.89233143966518669</v>
      </c>
      <c r="L22" s="58">
        <f>IFERROR('HISTORICAL FC'!L45,0)</f>
        <v>0.88179406953290029</v>
      </c>
      <c r="N22" s="63">
        <f t="shared" si="2"/>
        <v>0.86967162467804848</v>
      </c>
      <c r="O22" s="58">
        <f t="shared" si="1"/>
        <v>0.87292524224126944</v>
      </c>
    </row>
    <row r="23" spans="2:15" x14ac:dyDescent="0.3">
      <c r="B23" t="s">
        <v>178</v>
      </c>
      <c r="C23" s="58">
        <f>IFERROR('HISTORICAL FC'!C33/SUM('HISTORICAL FC'!C49:C50),0)</f>
        <v>7.6219143533313757E-2</v>
      </c>
      <c r="D23" s="58">
        <f>IFERROR('HISTORICAL FC'!D33/SUM('HISTORICAL FC'!D49:D50),0)</f>
        <v>7.8158121262452168E-2</v>
      </c>
      <c r="E23" s="58">
        <f>IFERROR('HISTORICAL FC'!E33/SUM('HISTORICAL FC'!E49:E50),0)</f>
        <v>8.9303114757449592E-2</v>
      </c>
      <c r="F23" s="58">
        <f>IFERROR('HISTORICAL FC'!F33/SUM('HISTORICAL FC'!F49:F50),0)</f>
        <v>8.119355638678212E-2</v>
      </c>
      <c r="G23" s="58">
        <f>IFERROR('HISTORICAL FC'!G33/SUM('HISTORICAL FC'!G49:G50),0)</f>
        <v>6.970696802518446E-2</v>
      </c>
      <c r="H23" s="58">
        <f>IFERROR('HISTORICAL FC'!H33/SUM('HISTORICAL FC'!H49:H50),0)</f>
        <v>4.4713299017955586E-2</v>
      </c>
      <c r="I23" s="58">
        <f>IFERROR('HISTORICAL FC'!I33/SUM('HISTORICAL FC'!I49:I50),0)</f>
        <v>6.1893429636234183E-2</v>
      </c>
      <c r="J23" s="58">
        <f>IFERROR('HISTORICAL FC'!J33/SUM('HISTORICAL FC'!J49:J50),0)</f>
        <v>8.670265075320728E-2</v>
      </c>
      <c r="K23" s="58">
        <f>IFERROR('HISTORICAL FC'!K33/SUM('HISTORICAL FC'!K49:K50),0)</f>
        <v>7.9196603321314563E-2</v>
      </c>
      <c r="L23" s="58">
        <f>IFERROR('HISTORICAL FC'!L33/SUM('HISTORICAL FC'!L49:L50),0)</f>
        <v>7.4671489563567367E-2</v>
      </c>
      <c r="N23" s="63">
        <f t="shared" si="2"/>
        <v>7.4175837625746116E-2</v>
      </c>
      <c r="O23" s="58">
        <f t="shared" si="1"/>
        <v>7.7188632397882956E-2</v>
      </c>
    </row>
    <row r="24" spans="2:15" x14ac:dyDescent="0.3">
      <c r="B24" t="s">
        <v>179</v>
      </c>
      <c r="C24" s="58">
        <f>IFERROR(C22*C23,0)</f>
        <v>6.2851318903418621E-2</v>
      </c>
      <c r="D24" s="58">
        <f t="shared" ref="D24:L24" si="4">IFERROR(D22*D23,0)</f>
        <v>6.5815349495087383E-2</v>
      </c>
      <c r="E24" s="58">
        <f t="shared" si="4"/>
        <v>7.7197059003904514E-2</v>
      </c>
      <c r="F24" s="58">
        <f t="shared" si="4"/>
        <v>7.124320610056005E-2</v>
      </c>
      <c r="G24" s="58">
        <f t="shared" si="4"/>
        <v>6.0533633445096026E-2</v>
      </c>
      <c r="H24" s="58">
        <f t="shared" si="4"/>
        <v>3.8269882257502441E-2</v>
      </c>
      <c r="I24" s="58">
        <f t="shared" si="4"/>
        <v>5.495038390732343E-2</v>
      </c>
      <c r="J24" s="58">
        <f t="shared" si="4"/>
        <v>7.8196381476018054E-2</v>
      </c>
      <c r="K24" s="58">
        <f t="shared" si="4"/>
        <v>7.0669619058301325E-2</v>
      </c>
      <c r="L24" s="58">
        <f t="shared" si="4"/>
        <v>6.5844876660341556E-2</v>
      </c>
      <c r="N24" s="63">
        <f t="shared" si="2"/>
        <v>6.4557171030755339E-2</v>
      </c>
      <c r="O24" s="58">
        <f t="shared" si="1"/>
        <v>6.5830113077714469E-2</v>
      </c>
    </row>
    <row r="25" spans="2:15" x14ac:dyDescent="0.3">
      <c r="B25" t="s">
        <v>180</v>
      </c>
      <c r="C25" s="64">
        <f>IFERROR(('HISTORICAL FC'!C18-'HISTORICAL FC'!C24)/'HISTORICAL FC'!C21,0)</f>
        <v>8.1863993497697098</v>
      </c>
      <c r="D25" s="64">
        <f>IFERROR(('HISTORICAL FC'!D18-'HISTORICAL FC'!D24)/'HISTORICAL FC'!D21,0)</f>
        <v>9.0051961548454145</v>
      </c>
      <c r="E25" s="64">
        <f>IFERROR(('HISTORICAL FC'!E18-'HISTORICAL FC'!E24)/'HISTORICAL FC'!E21,0)</f>
        <v>5.9126924987580729</v>
      </c>
      <c r="F25" s="64">
        <f>IFERROR(('HISTORICAL FC'!F18-'HISTORICAL FC'!F24)/'HISTORICAL FC'!F21,0)</f>
        <v>3.8384965140951803</v>
      </c>
      <c r="G25" s="64">
        <f>IFERROR(('HISTORICAL FC'!G18-'HISTORICAL FC'!G24)/'HISTORICAL FC'!G21,0)</f>
        <v>3.0445816497934355</v>
      </c>
      <c r="H25" s="64">
        <f>IFERROR(('HISTORICAL FC'!H18-'HISTORICAL FC'!H24)/'HISTORICAL FC'!H21,0)</f>
        <v>2.5587804993156826</v>
      </c>
      <c r="I25" s="64">
        <f>IFERROR(('HISTORICAL FC'!I18-'HISTORICAL FC'!I24)/'HISTORICAL FC'!I21,0)</f>
        <v>5.4031130005485464</v>
      </c>
      <c r="J25" s="64">
        <f>IFERROR(('HISTORICAL FC'!J18-'HISTORICAL FC'!J24)/'HISTORICAL FC'!J21,0)</f>
        <v>5.2125593991109298</v>
      </c>
      <c r="K25" s="64">
        <f>IFERROR(('HISTORICAL FC'!K18-'HISTORICAL FC'!K24)/'HISTORICAL FC'!K21,0)</f>
        <v>4.8302621334025435</v>
      </c>
      <c r="L25" s="64">
        <f>IFERROR(('HISTORICAL FC'!L18-'HISTORICAL FC'!L24)/'HISTORICAL FC'!L21,0)</f>
        <v>4.6339775021632539</v>
      </c>
      <c r="N25" s="64">
        <f t="shared" si="2"/>
        <v>5.262605870180276</v>
      </c>
      <c r="O25" s="67">
        <v>0.01</v>
      </c>
    </row>
    <row r="26" spans="2:15" x14ac:dyDescent="0.3"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2:15" x14ac:dyDescent="0.3">
      <c r="B27" t="s">
        <v>182</v>
      </c>
      <c r="C27" s="64">
        <f>IFERROR('HISTORICAL FC'!C6/'HISTORICAL FC'!C61,0)</f>
        <v>61.048824188129899</v>
      </c>
      <c r="D27" s="64">
        <f>IFERROR('HISTORICAL FC'!D6/'HISTORICAL FC'!D61,0)</f>
        <v>37.171823407117522</v>
      </c>
      <c r="E27" s="64">
        <f>IFERROR('HISTORICAL FC'!E6/'HISTORICAL FC'!E61,0)</f>
        <v>22.262774138422103</v>
      </c>
      <c r="F27" s="64">
        <f>IFERROR('HISTORICAL FC'!F6/'HISTORICAL FC'!F61,0)</f>
        <v>18.88853069227957</v>
      </c>
      <c r="G27" s="64">
        <f>IFERROR('HISTORICAL FC'!G6/'HISTORICAL FC'!G61,0)</f>
        <v>30.356074481074479</v>
      </c>
      <c r="H27" s="64">
        <f>IFERROR('HISTORICAL FC'!H6/'HISTORICAL FC'!H61,0)</f>
        <v>24.524403071421059</v>
      </c>
      <c r="I27" s="64">
        <f>IFERROR('HISTORICAL FC'!I6/'HISTORICAL FC'!I61,0)</f>
        <v>29.385490693739424</v>
      </c>
      <c r="J27" s="64">
        <f>IFERROR('HISTORICAL FC'!J6/'HISTORICAL FC'!J61,0)</f>
        <v>30.806946006749158</v>
      </c>
      <c r="K27" s="64">
        <f>IFERROR('HISTORICAL FC'!K6/'HISTORICAL FC'!K61,0)</f>
        <v>28.425477425066397</v>
      </c>
      <c r="L27" s="64">
        <f>IFERROR('HISTORICAL FC'!L6/'HISTORICAL FC'!L61,0)</f>
        <v>22.858431661166637</v>
      </c>
      <c r="N27" s="64">
        <f t="shared" si="2"/>
        <v>30.572877576516625</v>
      </c>
      <c r="O27" s="67">
        <f t="shared" si="1"/>
        <v>28.905484059402909</v>
      </c>
    </row>
    <row r="28" spans="2:15" x14ac:dyDescent="0.3">
      <c r="B28" t="s">
        <v>183</v>
      </c>
      <c r="C28" s="64">
        <f>IFERROR('HISTORICAL FC'!C6/'HISTORICAL FC'!C52,0)</f>
        <v>1.5781145970230479</v>
      </c>
      <c r="D28" s="64">
        <f>IFERROR('HISTORICAL FC'!D6/'HISTORICAL FC'!D52,0)</f>
        <v>1.3472063399196872</v>
      </c>
      <c r="E28" s="64">
        <f>IFERROR('HISTORICAL FC'!E6/'HISTORICAL FC'!E52,0)</f>
        <v>1.4062225644420776</v>
      </c>
      <c r="F28" s="64">
        <f>IFERROR('HISTORICAL FC'!F6/'HISTORICAL FC'!F52,0)</f>
        <v>1.8769137792103143</v>
      </c>
      <c r="G28" s="64">
        <f>IFERROR('HISTORICAL FC'!G6/'HISTORICAL FC'!G52,0)</f>
        <v>1.6633743685812732</v>
      </c>
      <c r="H28" s="64">
        <f>IFERROR('HISTORICAL FC'!H6/'HISTORICAL FC'!H52,0)</f>
        <v>1.3677459661925726</v>
      </c>
      <c r="I28" s="64">
        <f>IFERROR('HISTORICAL FC'!I6/'HISTORICAL FC'!I52,0)</f>
        <v>1.7367736806182326</v>
      </c>
      <c r="J28" s="64">
        <f>IFERROR('HISTORICAL FC'!J6/'HISTORICAL FC'!J52,0)</f>
        <v>1.9993247343422775</v>
      </c>
      <c r="K28" s="64">
        <f>IFERROR('HISTORICAL FC'!K6/'HISTORICAL FC'!K52,0)</f>
        <v>1.4717916732149405</v>
      </c>
      <c r="L28" s="64">
        <f>IFERROR('HISTORICAL FC'!L6/'HISTORICAL FC'!L52,0)</f>
        <v>1.3149685878175361</v>
      </c>
      <c r="N28" s="64">
        <f t="shared" si="2"/>
        <v>1.5762436291361959</v>
      </c>
      <c r="O28" s="67">
        <f t="shared" si="1"/>
        <v>1.5249531351189942</v>
      </c>
    </row>
    <row r="29" spans="2:15" x14ac:dyDescent="0.3">
      <c r="B29" t="s">
        <v>184</v>
      </c>
      <c r="C29" s="64">
        <f>IFERROR('HISTORICAL FC'!C6/'HISTORICAL FC'!C62,0)</f>
        <v>5.8637654347545496</v>
      </c>
      <c r="D29" s="64">
        <f>IFERROR('HISTORICAL FC'!D6/'HISTORICAL FC'!D62,0)</f>
        <v>6.2093522093522093</v>
      </c>
      <c r="E29" s="64">
        <f>IFERROR('HISTORICAL FC'!E6/'HISTORICAL FC'!E62,0)</f>
        <v>6.4241004651774416</v>
      </c>
      <c r="F29" s="64">
        <f>IFERROR('HISTORICAL FC'!F6/'HISTORICAL FC'!F62,0)</f>
        <v>8.41220526635189</v>
      </c>
      <c r="G29" s="64">
        <f>IFERROR('HISTORICAL FC'!G6/'HISTORICAL FC'!G62,0)</f>
        <v>8.0738129710566557</v>
      </c>
      <c r="H29" s="64">
        <f>IFERROR('HISTORICAL FC'!H6/'HISTORICAL FC'!H62,0)</f>
        <v>5.7095087667744151</v>
      </c>
      <c r="I29" s="64">
        <f>IFERROR('HISTORICAL FC'!I6/'HISTORICAL FC'!I62,0)</f>
        <v>6.4454062981313438</v>
      </c>
      <c r="J29" s="64">
        <f>IFERROR('HISTORICAL FC'!J6/'HISTORICAL FC'!J62,0)</f>
        <v>6.2596137363579221</v>
      </c>
      <c r="K29" s="64">
        <f>IFERROR('HISTORICAL FC'!K6/'HISTORICAL FC'!K62,0)</f>
        <v>5.8849315965176405</v>
      </c>
      <c r="L29" s="64">
        <f>IFERROR('HISTORICAL FC'!L6/'HISTORICAL FC'!L62,0)</f>
        <v>6.5918582519751885</v>
      </c>
      <c r="N29" s="64">
        <f t="shared" si="2"/>
        <v>6.5874554996449248</v>
      </c>
      <c r="O29" s="67">
        <f t="shared" si="1"/>
        <v>6.3418571007676814</v>
      </c>
    </row>
    <row r="30" spans="2:15" x14ac:dyDescent="0.3">
      <c r="B30" t="s">
        <v>185</v>
      </c>
      <c r="C30" s="64">
        <f>IFERROR('HISTORICAL FC'!C6/'HISTORICAL FC'!C55,0)</f>
        <v>1.4741387702125359</v>
      </c>
      <c r="D30" s="64">
        <f>IFERROR('HISTORICAL FC'!D6/'HISTORICAL FC'!D55,0)</f>
        <v>1.5310538669997884</v>
      </c>
      <c r="E30" s="64">
        <f>IFERROR('HISTORICAL FC'!E6/'HISTORICAL FC'!E55,0)</f>
        <v>0.96765911088552437</v>
      </c>
      <c r="F30" s="64">
        <f>IFERROR('HISTORICAL FC'!F6/'HISTORICAL FC'!F55,0)</f>
        <v>1.4266417989125797</v>
      </c>
      <c r="G30" s="64">
        <f>IFERROR('HISTORICAL FC'!G6/'HISTORICAL FC'!G55,0)</f>
        <v>1.1201915675724385</v>
      </c>
      <c r="H30" s="64">
        <f>IFERROR('HISTORICAL FC'!H6/'HISTORICAL FC'!H55,0)</f>
        <v>0.86152444859937405</v>
      </c>
      <c r="I30" s="64">
        <f>IFERROR('HISTORICAL FC'!I6/'HISTORICAL FC'!I55,0)</f>
        <v>1.1065231173084336</v>
      </c>
      <c r="J30" s="64">
        <f>IFERROR('HISTORICAL FC'!J6/'HISTORICAL FC'!J55,0)</f>
        <v>1.2091472878912259</v>
      </c>
      <c r="K30" s="64">
        <f>IFERROR('HISTORICAL FC'!K6/'HISTORICAL FC'!K55,0)</f>
        <v>1.1526388327980666</v>
      </c>
      <c r="L30" s="64">
        <f>IFERROR('HISTORICAL FC'!L6/'HISTORICAL FC'!L55,0)</f>
        <v>0.9634047867055302</v>
      </c>
      <c r="N30" s="64">
        <f t="shared" si="2"/>
        <v>1.1812923587885495</v>
      </c>
      <c r="O30" s="67">
        <f t="shared" si="1"/>
        <v>1.1364152001852525</v>
      </c>
    </row>
    <row r="31" spans="2:15" x14ac:dyDescent="0.3">
      <c r="B31" t="s">
        <v>207</v>
      </c>
      <c r="C31" s="64">
        <f>IFERROR('HISTORICAL FC'!C6/SUM('HISTORICAL FC'!C49:C50),0)</f>
        <v>1.1771796023424139</v>
      </c>
      <c r="D31" s="64">
        <f>IFERROR('HISTORICAL FC'!D6/SUM('HISTORICAL FC'!D49:D50),0)</f>
        <v>1.1526114012035995</v>
      </c>
      <c r="E31" s="64">
        <f>IFERROR('HISTORICAL FC'!E6/SUM('HISTORICAL FC'!E49:E50),0)</f>
        <v>1.3315673274140905</v>
      </c>
      <c r="F31" s="64">
        <f>IFERROR('HISTORICAL FC'!F6/SUM('HISTORICAL FC'!F49:F50),0)</f>
        <v>1.4681461695839964</v>
      </c>
      <c r="G31" s="64">
        <f>IFERROR('HISTORICAL FC'!G6/SUM('HISTORICAL FC'!G49:G50),0)</f>
        <v>1.3284153297444596</v>
      </c>
      <c r="H31" s="64">
        <f>IFERROR('HISTORICAL FC'!H6/SUM('HISTORICAL FC'!H49:H50),0)</f>
        <v>0.66598921407882639</v>
      </c>
      <c r="I31" s="64">
        <f>IFERROR('HISTORICAL FC'!I6/SUM('HISTORICAL FC'!I49:I50),0)</f>
        <v>0.89119482735395805</v>
      </c>
      <c r="J31" s="64">
        <f>IFERROR('HISTORICAL FC'!J6/SUM('HISTORICAL FC'!J49:J50),0)</f>
        <v>1.224235617540566</v>
      </c>
      <c r="K31" s="64">
        <f>IFERROR('HISTORICAL FC'!K6/SUM('HISTORICAL FC'!K49:K50),0)</f>
        <v>1.133034061307076</v>
      </c>
      <c r="L31" s="64">
        <f>IFERROR('HISTORICAL FC'!L6/SUM('HISTORICAL FC'!L49:L50),0)</f>
        <v>1.1418643263757116</v>
      </c>
      <c r="N31" s="64">
        <f t="shared" si="2"/>
        <v>1.1514237876944697</v>
      </c>
      <c r="O31" s="67">
        <f t="shared" si="1"/>
        <v>1.1648955017730067</v>
      </c>
    </row>
    <row r="32" spans="2:15" x14ac:dyDescent="0.3"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5"/>
    </row>
    <row r="33" spans="2:15" x14ac:dyDescent="0.3">
      <c r="B33" t="s">
        <v>46</v>
      </c>
      <c r="C33" s="65">
        <f>IFERROR(365/C27,0)</f>
        <v>5.9788211297109504</v>
      </c>
      <c r="D33" s="65">
        <f t="shared" ref="D33:L33" si="5">IFERROR(365/D27,0)</f>
        <v>9.8192654151615049</v>
      </c>
      <c r="E33" s="65">
        <f t="shared" si="5"/>
        <v>16.395081661007669</v>
      </c>
      <c r="F33" s="65">
        <f t="shared" si="5"/>
        <v>19.323895857563382</v>
      </c>
      <c r="G33" s="65">
        <f t="shared" si="5"/>
        <v>12.023952577516555</v>
      </c>
      <c r="H33" s="65">
        <f t="shared" si="5"/>
        <v>14.883134930421374</v>
      </c>
      <c r="I33" s="65">
        <f t="shared" si="5"/>
        <v>12.421095968894718</v>
      </c>
      <c r="J33" s="65">
        <f t="shared" si="5"/>
        <v>11.847977398345041</v>
      </c>
      <c r="K33" s="65">
        <f t="shared" si="5"/>
        <v>12.840593476826974</v>
      </c>
      <c r="L33" s="65">
        <f t="shared" si="5"/>
        <v>15.967849649986499</v>
      </c>
      <c r="N33" s="65">
        <f t="shared" si="2"/>
        <v>13.150166806543467</v>
      </c>
      <c r="O33" s="68">
        <f t="shared" si="1"/>
        <v>12.630844722860846</v>
      </c>
    </row>
    <row r="34" spans="2:15" x14ac:dyDescent="0.3">
      <c r="B34" t="s">
        <v>186</v>
      </c>
      <c r="C34" s="65">
        <f>IFERROR(365/C28,0)</f>
        <v>231.28865336429638</v>
      </c>
      <c r="D34" s="65">
        <f t="shared" ref="D34:L34" si="6">IFERROR(365/D28,0)</f>
        <v>270.93102903728857</v>
      </c>
      <c r="E34" s="65">
        <f t="shared" si="6"/>
        <v>259.56061951318117</v>
      </c>
      <c r="F34" s="65">
        <f t="shared" si="6"/>
        <v>194.46817645164751</v>
      </c>
      <c r="G34" s="65">
        <f t="shared" si="6"/>
        <v>219.43346422448252</v>
      </c>
      <c r="H34" s="65">
        <f t="shared" si="6"/>
        <v>266.86242110884035</v>
      </c>
      <c r="I34" s="65">
        <f t="shared" si="6"/>
        <v>210.15979460839847</v>
      </c>
      <c r="J34" s="65">
        <f t="shared" si="6"/>
        <v>182.56163880255045</v>
      </c>
      <c r="K34" s="65">
        <f t="shared" si="6"/>
        <v>247.99705463933236</v>
      </c>
      <c r="L34" s="65">
        <f t="shared" si="6"/>
        <v>277.57317047838643</v>
      </c>
      <c r="N34" s="65">
        <f t="shared" si="2"/>
        <v>236.08360222284045</v>
      </c>
      <c r="O34" s="68">
        <f t="shared" si="1"/>
        <v>239.64285400181438</v>
      </c>
    </row>
    <row r="35" spans="2:15" x14ac:dyDescent="0.3">
      <c r="B35" t="s">
        <v>187</v>
      </c>
      <c r="C35" s="65">
        <f>IFERROR(365/C29,0)</f>
        <v>62.246691833313157</v>
      </c>
      <c r="D35" s="65">
        <f t="shared" ref="D35:L35" si="7">IFERROR(365/D29,0)</f>
        <v>58.782299295288105</v>
      </c>
      <c r="E35" s="65">
        <f t="shared" si="7"/>
        <v>56.817293250397235</v>
      </c>
      <c r="F35" s="65">
        <f t="shared" si="7"/>
        <v>43.389335904577742</v>
      </c>
      <c r="G35" s="65">
        <f t="shared" si="7"/>
        <v>45.207883971113446</v>
      </c>
      <c r="H35" s="65">
        <f t="shared" si="7"/>
        <v>63.928441992078177</v>
      </c>
      <c r="I35" s="65">
        <f t="shared" si="7"/>
        <v>56.629478905902495</v>
      </c>
      <c r="J35" s="65">
        <f t="shared" si="7"/>
        <v>58.310307212721192</v>
      </c>
      <c r="K35" s="65">
        <f t="shared" si="7"/>
        <v>62.022810973025706</v>
      </c>
      <c r="L35" s="65">
        <f t="shared" si="7"/>
        <v>55.371336283002016</v>
      </c>
      <c r="N35" s="65">
        <f t="shared" si="2"/>
        <v>56.270587962141917</v>
      </c>
      <c r="O35" s="68">
        <f t="shared" si="1"/>
        <v>57.563800231559213</v>
      </c>
    </row>
    <row r="36" spans="2:15" x14ac:dyDescent="0.3">
      <c r="B36" t="s">
        <v>188</v>
      </c>
      <c r="C36" s="65">
        <f>IFERROR(C33+C35-C34,0)</f>
        <v>-163.06314040127228</v>
      </c>
      <c r="D36" s="65">
        <f t="shared" ref="D36:L36" si="8">IFERROR(D33+D35-D34,0)</f>
        <v>-202.32946432683894</v>
      </c>
      <c r="E36" s="65">
        <f t="shared" si="8"/>
        <v>-186.34824460177626</v>
      </c>
      <c r="F36" s="65">
        <f t="shared" si="8"/>
        <v>-131.75494468950637</v>
      </c>
      <c r="G36" s="65">
        <f t="shared" si="8"/>
        <v>-162.20162767585254</v>
      </c>
      <c r="H36" s="65">
        <f t="shared" si="8"/>
        <v>-188.05084418634078</v>
      </c>
      <c r="I36" s="65">
        <f t="shared" si="8"/>
        <v>-141.10921973360126</v>
      </c>
      <c r="J36" s="65">
        <f t="shared" si="8"/>
        <v>-112.40335419148421</v>
      </c>
      <c r="K36" s="65">
        <f t="shared" si="8"/>
        <v>-173.13365018947968</v>
      </c>
      <c r="L36" s="65">
        <f t="shared" si="8"/>
        <v>-206.2339845453979</v>
      </c>
      <c r="N36" s="65">
        <f t="shared" si="2"/>
        <v>-166.66284745415504</v>
      </c>
      <c r="O36" s="68">
        <f t="shared" si="1"/>
        <v>-168.09839529537598</v>
      </c>
    </row>
    <row r="37" spans="2:15" x14ac:dyDescent="0.3"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</row>
    <row r="38" spans="2:15" x14ac:dyDescent="0.3">
      <c r="B38" t="s">
        <v>189</v>
      </c>
      <c r="C38" s="58">
        <f>IFERROR('HISTORICAL FC'!C78/'HISTORICAL FC'!C6,0)</f>
        <v>0.16862020008584541</v>
      </c>
      <c r="D38" s="58">
        <f>IFERROR('HISTORICAL FC'!D78/'HISTORICAL FC'!D6,0)</f>
        <v>0.21389091770465268</v>
      </c>
      <c r="E38" s="58">
        <f>IFERROR('HISTORICAL FC'!E78/'HISTORICAL FC'!E6,0)</f>
        <v>0.23027559790493396</v>
      </c>
      <c r="F38" s="58">
        <f>IFERROR('HISTORICAL FC'!F78/'HISTORICAL FC'!F6,0)</f>
        <v>2.3866121684845434E-2</v>
      </c>
      <c r="G38" s="58">
        <f>IFERROR('HISTORICAL FC'!G78/'HISTORICAL FC'!G6,0)</f>
        <v>0.18903464006609919</v>
      </c>
      <c r="H38" s="58">
        <f>IFERROR('HISTORICAL FC'!H78/'HISTORICAL FC'!H6,0)</f>
        <v>-4.9323728788115986E-2</v>
      </c>
      <c r="I38" s="58">
        <f>IFERROR('HISTORICAL FC'!I78/'HISTORICAL FC'!I6,0)</f>
        <v>0.16033299120593431</v>
      </c>
      <c r="J38" s="58">
        <f>IFERROR('HISTORICAL FC'!J78/'HISTORICAL FC'!J6,0)</f>
        <v>0.10885261913564188</v>
      </c>
      <c r="K38" s="58">
        <f>IFERROR('HISTORICAL FC'!K78/'HISTORICAL FC'!K6,0)</f>
        <v>0.18370018719947143</v>
      </c>
      <c r="L38" s="58">
        <f>IFERROR('HISTORICAL FC'!L78/'HISTORICAL FC'!L6,0)</f>
        <v>0.21024386697409692</v>
      </c>
      <c r="N38" s="63">
        <f t="shared" si="2"/>
        <v>0.14394934131734052</v>
      </c>
      <c r="O38" s="58">
        <f t="shared" si="1"/>
        <v>0.17616019364265842</v>
      </c>
    </row>
    <row r="39" spans="2:15" x14ac:dyDescent="0.3">
      <c r="B39" t="s">
        <v>190</v>
      </c>
      <c r="C39" s="58">
        <f>IFERROR('HISTORICAL FC'!C78/'HISTORICAL FC'!C66,0)</f>
        <v>7.6733272453785251E-2</v>
      </c>
      <c r="D39" s="58">
        <f>IFERROR('HISTORICAL FC'!D78/'HISTORICAL FC'!D66,0)</f>
        <v>9.1981912897812962E-2</v>
      </c>
      <c r="E39" s="58">
        <f>IFERROR('HISTORICAL FC'!E78/'HISTORICAL FC'!E66,0)</f>
        <v>0.11093306445549156</v>
      </c>
      <c r="F39" s="58">
        <f>IFERROR('HISTORICAL FC'!F78/'HISTORICAL FC'!F66,0)</f>
        <v>1.3596223048625242E-2</v>
      </c>
      <c r="G39" s="58">
        <f>IFERROR('HISTORICAL FC'!G78/'HISTORICAL FC'!G66,0)</f>
        <v>9.6983271926845305E-2</v>
      </c>
      <c r="H39" s="58">
        <f>IFERROR('HISTORICAL FC'!H78/'HISTORICAL FC'!H66,0)</f>
        <v>-1.7423384454553374E-2</v>
      </c>
      <c r="I39" s="58">
        <f>IFERROR('HISTORICAL FC'!I78/'HISTORICAL FC'!I66,0)</f>
        <v>7.4320942839488549E-2</v>
      </c>
      <c r="J39" s="58">
        <f>IFERROR('HISTORICAL FC'!J78/'HISTORICAL FC'!J66,0)</f>
        <v>5.9405361041471288E-2</v>
      </c>
      <c r="K39" s="58">
        <f>IFERROR('HISTORICAL FC'!K78/'HISTORICAL FC'!K66,0)</f>
        <v>9.4102269567555991E-2</v>
      </c>
      <c r="L39" s="58">
        <f>IFERROR('HISTORICAL FC'!L78/'HISTORICAL FC'!L66,0)</f>
        <v>0.10382399871160525</v>
      </c>
      <c r="N39" s="63">
        <f t="shared" si="2"/>
        <v>7.0445693248812807E-2</v>
      </c>
      <c r="O39" s="58">
        <f t="shared" si="1"/>
        <v>8.4357592675799106E-2</v>
      </c>
    </row>
    <row r="40" spans="2:15" x14ac:dyDescent="0.3">
      <c r="B40" t="s">
        <v>191</v>
      </c>
      <c r="C40" s="58">
        <f>IFERROR('HISTORICAL FC'!C78/'HISTORICAL FC'!C51,0)</f>
        <v>0.23605390470125415</v>
      </c>
      <c r="D40" s="58">
        <f>IFERROR('HISTORICAL FC'!D78/'HISTORICAL FC'!D51,0)</f>
        <v>0.29894470628807907</v>
      </c>
      <c r="E40" s="58">
        <f>IFERROR('HISTORICAL FC'!E78/'HISTORICAL FC'!E51,0)</f>
        <v>0.37523296489787067</v>
      </c>
      <c r="F40" s="58">
        <f>IFERROR('HISTORICAL FC'!F78/'HISTORICAL FC'!F51,0)</f>
        <v>4.4079892367588087E-2</v>
      </c>
      <c r="G40" s="58">
        <f>IFERROR('HISTORICAL FC'!G78/'HISTORICAL FC'!G51,0)</f>
        <v>0.31760776948354558</v>
      </c>
      <c r="H40" s="58">
        <f>IFERROR('HISTORICAL FC'!H78/'HISTORICAL FC'!H51,0)</f>
        <v>-8.244850553121931E-2</v>
      </c>
      <c r="I40" s="58">
        <f>IFERROR('HISTORICAL FC'!I78/'HISTORICAL FC'!I51,0)</f>
        <v>0.34897762236885804</v>
      </c>
      <c r="J40" s="58">
        <f>IFERROR('HISTORICAL FC'!J78/'HISTORICAL FC'!J51,0)</f>
        <v>0.2112145311559035</v>
      </c>
      <c r="K40" s="58">
        <f>IFERROR('HISTORICAL FC'!K78/'HISTORICAL FC'!K51,0)</f>
        <v>0.47090120580863881</v>
      </c>
      <c r="L40" s="58">
        <f>IFERROR('HISTORICAL FC'!L78/'HISTORICAL FC'!L51,0)</f>
        <v>0.54079607173675504</v>
      </c>
      <c r="N40" s="63">
        <f t="shared" si="2"/>
        <v>0.27613601632772738</v>
      </c>
      <c r="O40" s="58">
        <f t="shared" si="1"/>
        <v>0.30827623788581232</v>
      </c>
    </row>
    <row r="41" spans="2:15" x14ac:dyDescent="0.3"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</row>
    <row r="42" spans="2:15" x14ac:dyDescent="0.3">
      <c r="B42" s="2" t="s">
        <v>198</v>
      </c>
      <c r="O42" s="58"/>
    </row>
    <row r="43" spans="2:15" x14ac:dyDescent="0.3">
      <c r="B43" t="s">
        <v>200</v>
      </c>
      <c r="C43" s="58">
        <f>IFERROR('HISTORICAL FC'!C33/'HISTORICAL FC'!C66,0)</f>
        <v>2.9464254411958657E-2</v>
      </c>
      <c r="D43" s="58">
        <f>IFERROR('HISTORICAL FC'!D33/'HISTORICAL FC'!D66,0)</f>
        <v>2.9160924841752003E-2</v>
      </c>
      <c r="E43" s="58">
        <f>IFERROR('HISTORICAL FC'!E33/'HISTORICAL FC'!E66,0)</f>
        <v>3.2308483087690583E-2</v>
      </c>
      <c r="F43" s="58">
        <f>IFERROR('HISTORICAL FC'!F33/'HISTORICAL FC'!F66,0)</f>
        <v>3.1505668434189026E-2</v>
      </c>
      <c r="G43" s="58">
        <f>IFERROR('HISTORICAL FC'!G33/'HISTORICAL FC'!G66,0)</f>
        <v>2.6921406860616587E-2</v>
      </c>
      <c r="H43" s="58">
        <f>IFERROR('HISTORICAL FC'!H33/'HISTORICAL FC'!H66,0)</f>
        <v>2.3716256396465324E-2</v>
      </c>
      <c r="I43" s="58">
        <f>IFERROR('HISTORICAL FC'!I33/'HISTORICAL FC'!I66,0)</f>
        <v>3.219290788471009E-2</v>
      </c>
      <c r="J43" s="58">
        <f>IFERROR('HISTORICAL FC'!J33/'HISTORICAL FC'!J66,0)</f>
        <v>3.8650411424998851E-2</v>
      </c>
      <c r="K43" s="58">
        <f>IFERROR('HISTORICAL FC'!K33/'HISTORICAL FC'!K66,0)</f>
        <v>3.5805858301311416E-2</v>
      </c>
      <c r="L43" s="58">
        <f>IFERROR('HISTORICAL FC'!L33/'HISTORICAL FC'!L66,0)</f>
        <v>3.2293470885202076E-2</v>
      </c>
      <c r="N43" s="63">
        <f t="shared" si="2"/>
        <v>3.1201964252889458E-2</v>
      </c>
      <c r="O43" s="58">
        <f t="shared" si="1"/>
        <v>3.1849288159449554E-2</v>
      </c>
    </row>
    <row r="44" spans="2:15" x14ac:dyDescent="0.3">
      <c r="B44" t="s">
        <v>199</v>
      </c>
      <c r="C44" s="58">
        <f>IFERROR(('HISTORICAL FC'!C18-'HISTORICAL FC'!C24)/'HISTORICAL FC'!C66,0)</f>
        <v>5.0444326098461258E-2</v>
      </c>
      <c r="D44" s="58">
        <f>IFERROR(('HISTORICAL FC'!D18-'HISTORICAL FC'!D24)/'HISTORICAL FC'!D66,0)</f>
        <v>4.9039193437483197E-2</v>
      </c>
      <c r="E44" s="58">
        <f>IFERROR(('HISTORICAL FC'!E18-'HISTORICAL FC'!E24)/'HISTORICAL FC'!E66,0)</f>
        <v>5.868431465117168E-2</v>
      </c>
      <c r="F44" s="58">
        <f>IFERROR(('HISTORICAL FC'!F18-'HISTORICAL FC'!F24)/'HISTORICAL FC'!F66,0)</f>
        <v>6.3466415404508689E-2</v>
      </c>
      <c r="G44" s="58">
        <f>IFERROR(('HISTORICAL FC'!G18-'HISTORICAL FC'!G24)/'HISTORICAL FC'!G66,0)</f>
        <v>5.7663056796343988E-2</v>
      </c>
      <c r="H44" s="58">
        <f>IFERROR(('HISTORICAL FC'!H18-'HISTORICAL FC'!H24)/'HISTORICAL FC'!H66,0)</f>
        <v>4.1072219928564122E-2</v>
      </c>
      <c r="I44" s="58">
        <f>IFERROR(('HISTORICAL FC'!I18-'HISTORICAL FC'!I24)/'HISTORICAL FC'!I66,0)</f>
        <v>5.2580971052073169E-2</v>
      </c>
      <c r="J44" s="58">
        <f>IFERROR(('HISTORICAL FC'!J18-'HISTORICAL FC'!J24)/'HISTORICAL FC'!J66,0)</f>
        <v>6.352583813754685E-2</v>
      </c>
      <c r="K44" s="58">
        <f>IFERROR(('HISTORICAL FC'!K18-'HISTORICAL FC'!K24)/'HISTORICAL FC'!K66,0)</f>
        <v>6.3625610239719937E-2</v>
      </c>
      <c r="L44" s="58">
        <f>IFERROR(('HISTORICAL FC'!L18-'HISTORICAL FC'!L24)/'HISTORICAL FC'!L66,0)</f>
        <v>5.7681310018448867E-2</v>
      </c>
      <c r="N44" s="63">
        <f t="shared" si="2"/>
        <v>5.5778325576432176E-2</v>
      </c>
      <c r="O44" s="58">
        <f t="shared" si="1"/>
        <v>5.7672183407396424E-2</v>
      </c>
    </row>
    <row r="45" spans="2:15" x14ac:dyDescent="0.3">
      <c r="B45" t="s">
        <v>201</v>
      </c>
      <c r="C45" s="58">
        <f>IFERROR((('HISTORICAL FC'!C18-'HISTORICAL FC'!C24)-('HISTORICAL FC'!C21-('HISTORICAL FC'!C21*'HISTORICAL FC'!C31)))/'HISTORICAL FC'!C66,0)</f>
        <v>4.6344323722041302E-2</v>
      </c>
      <c r="D45" s="58">
        <f>IFERROR((('HISTORICAL FC'!D18-'HISTORICAL FC'!D24)-('HISTORICAL FC'!D21-('HISTORICAL FC'!D21*'HISTORICAL FC'!D31)))/'HISTORICAL FC'!D66,0)</f>
        <v>4.5396443868617062E-2</v>
      </c>
      <c r="E45" s="58">
        <f>IFERROR((('HISTORICAL FC'!E18-'HISTORICAL FC'!E24)-('HISTORICAL FC'!E21-('HISTORICAL FC'!E21*'HISTORICAL FC'!E31)))/'HISTORICAL FC'!E66,0)</f>
        <v>5.2107781905460816E-2</v>
      </c>
      <c r="F45" s="58">
        <f>IFERROR((('HISTORICAL FC'!F18-'HISTORICAL FC'!F24)-('HISTORICAL FC'!F21-('HISTORICAL FC'!F21*'HISTORICAL FC'!F31)))/'HISTORICAL FC'!F66,0)</f>
        <v>5.2366994187064635E-2</v>
      </c>
      <c r="G45" s="58">
        <f>IFERROR((('HISTORICAL FC'!G18-'HISTORICAL FC'!G24)-('HISTORICAL FC'!G21-('HISTORICAL FC'!G21*'HISTORICAL FC'!G31)))/'HISTORICAL FC'!G66,0)</f>
        <v>4.449586102143499E-2</v>
      </c>
      <c r="H45" s="58">
        <f>IFERROR((('HISTORICAL FC'!H18-'HISTORICAL FC'!H24)-('HISTORICAL FC'!H21-('HISTORICAL FC'!H21*'HISTORICAL FC'!H31)))/'HISTORICAL FC'!H66,0)</f>
        <v>2.5857597724298062E-2</v>
      </c>
      <c r="I45" s="58">
        <f>IFERROR((('HISTORICAL FC'!I18-'HISTORICAL FC'!I24)-('HISTORICAL FC'!I21-('HISTORICAL FC'!I21*'HISTORICAL FC'!I31)))/'HISTORICAL FC'!I66,0)</f>
        <v>4.5269573892677203E-2</v>
      </c>
      <c r="J45" s="58">
        <f>IFERROR((('HISTORICAL FC'!J18-'HISTORICAL FC'!J24)-('HISTORICAL FC'!J21-('HISTORICAL FC'!J21*'HISTORICAL FC'!J31)))/'HISTORICAL FC'!J66,0)</f>
        <v>5.4350795660245248E-2</v>
      </c>
      <c r="K45" s="58">
        <f>IFERROR((('HISTORICAL FC'!K18-'HISTORICAL FC'!K24)-('HISTORICAL FC'!K21-('HISTORICAL FC'!K21*'HISTORICAL FC'!K31)))/'HISTORICAL FC'!K66,0)</f>
        <v>5.4277461978779917E-2</v>
      </c>
      <c r="L45" s="58">
        <f>IFERROR((('HISTORICAL FC'!L18-'HISTORICAL FC'!L24)-('HISTORICAL FC'!L21-('HISTORICAL FC'!L21*'HISTORICAL FC'!L31)))/'HISTORICAL FC'!L66,0)</f>
        <v>4.8794774296645894E-2</v>
      </c>
      <c r="N45" s="63">
        <f t="shared" si="2"/>
        <v>4.6926160825726516E-2</v>
      </c>
      <c r="O45" s="58">
        <f t="shared" si="1"/>
        <v>4.7569549009343598E-2</v>
      </c>
    </row>
    <row r="46" spans="2:15" x14ac:dyDescent="0.3"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</row>
    <row r="47" spans="2:15" x14ac:dyDescent="0.3">
      <c r="B47" s="2" t="s">
        <v>202</v>
      </c>
      <c r="O47" s="58"/>
    </row>
    <row r="48" spans="2:15" x14ac:dyDescent="0.3">
      <c r="B48" t="s">
        <v>57</v>
      </c>
      <c r="C48" s="60">
        <f>IFERROR('HISTORICAL FC'!C39,0)</f>
        <v>12.765264939461009</v>
      </c>
      <c r="D48" s="60">
        <f>IFERROR('HISTORICAL FC'!D39,0)</f>
        <v>14.857773100157148</v>
      </c>
      <c r="E48" s="60">
        <f>IFERROR('HISTORICAL FC'!E39,0)</f>
        <v>19.395585286260811</v>
      </c>
      <c r="F48" s="60">
        <f>IFERROR('HISTORICAL FC'!F39,0)</f>
        <v>23.243311197550767</v>
      </c>
      <c r="G48" s="60">
        <f>IFERROR('HISTORICAL FC'!G39,0)</f>
        <v>23.151948061551206</v>
      </c>
      <c r="H48" s="60">
        <f>IFERROR('HISTORICAL FC'!H39,0)</f>
        <v>24.692205159753605</v>
      </c>
      <c r="I48" s="60">
        <f>IFERROR('HISTORICAL FC'!I39,0)</f>
        <v>35.658324587207495</v>
      </c>
      <c r="J48" s="60">
        <f>IFERROR('HISTORICAL FC'!J39,0)</f>
        <v>45.870284971029918</v>
      </c>
      <c r="K48" s="60">
        <f>IFERROR('HISTORICAL FC'!K39,0)</f>
        <v>46.440870863325301</v>
      </c>
      <c r="L48" s="60">
        <f>IFERROR('HISTORICAL FC'!L39,0)</f>
        <v>46.527593035972927</v>
      </c>
      <c r="N48" s="60">
        <f t="shared" si="2"/>
        <v>29.260316120227021</v>
      </c>
      <c r="O48" s="69">
        <f t="shared" si="1"/>
        <v>23.967758178652186</v>
      </c>
    </row>
    <row r="49" spans="2:15" x14ac:dyDescent="0.3">
      <c r="B49" t="s">
        <v>203</v>
      </c>
      <c r="C49" s="60">
        <f>IFERROR(('HISTORICAL FC'!C33+'HISTORICAL FC'!C24)/'HISTORICAL FC'!C36,0)</f>
        <v>21.130061189949227</v>
      </c>
      <c r="D49" s="60">
        <f>IFERROR(('HISTORICAL FC'!D33+'HISTORICAL FC'!D24)/'HISTORICAL FC'!D36,0)</f>
        <v>23.252980781707301</v>
      </c>
      <c r="E49" s="60">
        <f>IFERROR(('HISTORICAL FC'!E33+'HISTORICAL FC'!E24)/'HISTORICAL FC'!E36,0)</f>
        <v>31.757671730588502</v>
      </c>
      <c r="F49" s="60">
        <f>IFERROR(('HISTORICAL FC'!F33+'HISTORICAL FC'!F24)/'HISTORICAL FC'!F36,0)</f>
        <v>38.724061940751042</v>
      </c>
      <c r="G49" s="60">
        <f>IFERROR(('HISTORICAL FC'!G33+'HISTORICAL FC'!G24)/'HISTORICAL FC'!G36,0)</f>
        <v>39.569792290571371</v>
      </c>
      <c r="H49" s="60">
        <f>IFERROR(('HISTORICAL FC'!H33+'HISTORICAL FC'!H24)/'HISTORICAL FC'!H36,0)</f>
        <v>45.64985921491612</v>
      </c>
      <c r="I49" s="60">
        <f>IFERROR(('HISTORICAL FC'!I33+'HISTORICAL FC'!I24)/'HISTORICAL FC'!I36,0)</f>
        <v>57.670475542875728</v>
      </c>
      <c r="J49" s="60">
        <f>IFERROR(('HISTORICAL FC'!J33+'HISTORICAL FC'!J24)/'HISTORICAL FC'!J36,0)</f>
        <v>75.655522052737382</v>
      </c>
      <c r="K49" s="60">
        <f>IFERROR(('HISTORICAL FC'!K33+'HISTORICAL FC'!K24)/'HISTORICAL FC'!K36,0)</f>
        <v>84.006828561715707</v>
      </c>
      <c r="L49" s="60">
        <f>IFERROR(('HISTORICAL FC'!L33+'HISTORICAL FC'!L24)/'HISTORICAL FC'!L36,0)</f>
        <v>85.793355206763025</v>
      </c>
      <c r="N49" s="60">
        <f t="shared" si="2"/>
        <v>50.321060851257535</v>
      </c>
      <c r="O49" s="69">
        <f t="shared" si="1"/>
        <v>42.609825752743745</v>
      </c>
    </row>
    <row r="50" spans="2:15" x14ac:dyDescent="0.3">
      <c r="B50" t="s">
        <v>204</v>
      </c>
      <c r="C50" s="60">
        <f>IFERROR('HISTORICAL FC'!C42,0)</f>
        <v>2.2388577876144602</v>
      </c>
      <c r="D50" s="60">
        <f>IFERROR('HISTORICAL FC'!D42,0)</f>
        <v>2.346347371000995</v>
      </c>
      <c r="E50" s="60">
        <f>IFERROR('HISTORICAL FC'!E42,0)</f>
        <v>2.6292928022258559</v>
      </c>
      <c r="F50" s="60">
        <f>IFERROR('HISTORICAL FC'!F42,0)</f>
        <v>2.8484906748702175</v>
      </c>
      <c r="G50" s="60">
        <f>IFERROR('HISTORICAL FC'!G42,0)</f>
        <v>3.0467623505401633</v>
      </c>
      <c r="H50" s="60">
        <f>IFERROR('HISTORICAL FC'!H42,0)</f>
        <v>3.5582739827587564</v>
      </c>
      <c r="I50" s="60">
        <f>IFERROR('HISTORICAL FC'!I42,0)</f>
        <v>4.0000591287380445</v>
      </c>
      <c r="J50" s="60">
        <f>IFERROR('HISTORICAL FC'!J42,0)</f>
        <v>4.5002660517914155</v>
      </c>
      <c r="K50" s="60">
        <f>IFERROR('HISTORICAL FC'!K42,0)</f>
        <v>5.0002217065492109</v>
      </c>
      <c r="L50" s="60">
        <f>IFERROR('HISTORICAL FC'!L42,0)</f>
        <v>5.4998374272117294</v>
      </c>
      <c r="N50" s="60">
        <f t="shared" si="2"/>
        <v>3.5668409283300853</v>
      </c>
      <c r="O50" s="69">
        <f t="shared" si="1"/>
        <v>3.3025181666494596</v>
      </c>
    </row>
    <row r="51" spans="2:15" x14ac:dyDescent="0.3">
      <c r="B51" t="s">
        <v>205</v>
      </c>
      <c r="C51" s="58">
        <f>IFERROR('HISTORICAL FC'!C43,0)</f>
        <v>0.17538670746217916</v>
      </c>
      <c r="D51" s="58">
        <f>IFERROR('HISTORICAL FC'!D43,0)</f>
        <v>0.15792052787346564</v>
      </c>
      <c r="E51" s="58">
        <f>IFERROR('HISTORICAL FC'!E43,0)</f>
        <v>0.13556140551676776</v>
      </c>
      <c r="F51" s="58">
        <f>IFERROR('HISTORICAL FC'!F43,0)</f>
        <v>0.12255098469663708</v>
      </c>
      <c r="G51" s="58">
        <f>IFERROR('HISTORICAL FC'!G43,0)</f>
        <v>0.13159853082082401</v>
      </c>
      <c r="H51" s="58">
        <f>IFERROR('HISTORICAL FC'!H43,0)</f>
        <v>0.14410515220238285</v>
      </c>
      <c r="I51" s="58">
        <f>IFERROR('HISTORICAL FC'!I43,0)</f>
        <v>0.11217742771271634</v>
      </c>
      <c r="J51" s="58">
        <f>IFERROR('HISTORICAL FC'!J43,0)</f>
        <v>9.8108526132628729E-2</v>
      </c>
      <c r="K51" s="58">
        <f>IFERROR('HISTORICAL FC'!K43,0)</f>
        <v>0.10766856033481326</v>
      </c>
      <c r="L51" s="58">
        <f>IFERROR('HISTORICAL FC'!L43,0)</f>
        <v>0.11820593046709973</v>
      </c>
      <c r="N51" s="63">
        <f t="shared" si="2"/>
        <v>0.13032837532195146</v>
      </c>
      <c r="O51" s="58">
        <f t="shared" si="1"/>
        <v>0.12707475775873056</v>
      </c>
    </row>
    <row r="52" spans="2:15" x14ac:dyDescent="0.3">
      <c r="B52" t="s">
        <v>206</v>
      </c>
      <c r="C52" s="58">
        <f>IFERROR(C50/'Data Sheet'!B8,0)</f>
        <v>1.640188855395209E-3</v>
      </c>
      <c r="D52" s="58">
        <f>IFERROR(D50/'Data Sheet'!C8,0)</f>
        <v>0</v>
      </c>
      <c r="E52" s="58">
        <f>IFERROR(E50/'Data Sheet'!D8,0)</f>
        <v>0</v>
      </c>
      <c r="F52" s="58">
        <f>IFERROR(F50/'Data Sheet'!E8,0)</f>
        <v>0</v>
      </c>
      <c r="G52" s="58">
        <f>IFERROR(G50/'Data Sheet'!F8,0)</f>
        <v>0</v>
      </c>
      <c r="H52" s="58">
        <f>IFERROR(H50/'Data Sheet'!G8,0)</f>
        <v>0</v>
      </c>
      <c r="I52" s="58">
        <f>IFERROR(I50/'Data Sheet'!H8,0)</f>
        <v>0</v>
      </c>
      <c r="J52" s="58">
        <f>IFERROR(J50/'Data Sheet'!I8,0)</f>
        <v>0</v>
      </c>
      <c r="K52" s="58">
        <f>IFERROR(K50/'Data Sheet'!J8,0)</f>
        <v>0</v>
      </c>
      <c r="L52" s="58">
        <f>IFERROR(L50/'Data Sheet'!K8,0)</f>
        <v>0</v>
      </c>
      <c r="N52" s="63">
        <f t="shared" si="2"/>
        <v>1.640188855395209E-4</v>
      </c>
      <c r="O52" s="58">
        <f t="shared" si="1"/>
        <v>0</v>
      </c>
    </row>
  </sheetData>
  <mergeCells count="1">
    <mergeCell ref="B2:L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C54285F6-6EB9-4E0D-87F0-7797660D430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ANALYSIS'!C48:L48</xm:f>
              <xm:sqref>M48</xm:sqref>
            </x14:sparkline>
            <x14:sparkline>
              <xm:f>'RATIO ANALYSIS'!C49:L49</xm:f>
              <xm:sqref>M49</xm:sqref>
            </x14:sparkline>
            <x14:sparkline>
              <xm:f>'RATIO ANALYSIS'!C50:L50</xm:f>
              <xm:sqref>M50</xm:sqref>
            </x14:sparkline>
            <x14:sparkline>
              <xm:f>'RATIO ANALYSIS'!C51:L51</xm:f>
              <xm:sqref>M51</xm:sqref>
            </x14:sparkline>
            <x14:sparkline>
              <xm:f>'RATIO ANALYSIS'!C52:L52</xm:f>
              <xm:sqref>M52</xm:sqref>
            </x14:sparkline>
          </x14:sparklines>
        </x14:sparklineGroup>
        <x14:sparklineGroup displayEmptyCellsAs="gap" xr2:uid="{8FA3D072-19B5-4818-90F6-DBE0330E898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ANALYSIS'!C43:L43</xm:f>
              <xm:sqref>M43</xm:sqref>
            </x14:sparkline>
            <x14:sparkline>
              <xm:f>'RATIO ANALYSIS'!C44:L44</xm:f>
              <xm:sqref>M44</xm:sqref>
            </x14:sparkline>
            <x14:sparkline>
              <xm:f>'RATIO ANALYSIS'!C45:L45</xm:f>
              <xm:sqref>M45</xm:sqref>
            </x14:sparkline>
          </x14:sparklines>
        </x14:sparklineGroup>
        <x14:sparklineGroup displayEmptyCellsAs="gap" xr2:uid="{97F025C7-6AB2-4C81-B927-4B4C956E019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ANALYSIS'!C38:L38</xm:f>
              <xm:sqref>M38</xm:sqref>
            </x14:sparkline>
            <x14:sparkline>
              <xm:f>'RATIO ANALYSIS'!C39:L39</xm:f>
              <xm:sqref>M39</xm:sqref>
            </x14:sparkline>
            <x14:sparkline>
              <xm:f>'RATIO ANALYSIS'!C40:L40</xm:f>
              <xm:sqref>M40</xm:sqref>
            </x14:sparkline>
          </x14:sparklines>
        </x14:sparklineGroup>
        <x14:sparklineGroup displayEmptyCellsAs="gap" xr2:uid="{FAFBB332-D0E2-433F-B936-70076B1CCF1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ANALYSIS'!C33:L33</xm:f>
              <xm:sqref>M33</xm:sqref>
            </x14:sparkline>
            <x14:sparkline>
              <xm:f>'RATIO ANALYSIS'!C34:L34</xm:f>
              <xm:sqref>M34</xm:sqref>
            </x14:sparkline>
            <x14:sparkline>
              <xm:f>'RATIO ANALYSIS'!C35:L35</xm:f>
              <xm:sqref>M35</xm:sqref>
            </x14:sparkline>
            <x14:sparkline>
              <xm:f>'RATIO ANALYSIS'!C36:L36</xm:f>
              <xm:sqref>M36</xm:sqref>
            </x14:sparkline>
          </x14:sparklines>
        </x14:sparklineGroup>
        <x14:sparklineGroup displayEmptyCellsAs="gap" xr2:uid="{2E6DB287-62C3-463B-9DB6-DA3F93454CF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ANALYSIS'!C27:L27</xm:f>
              <xm:sqref>M27</xm:sqref>
            </x14:sparkline>
            <x14:sparkline>
              <xm:f>'RATIO ANALYSIS'!C28:L28</xm:f>
              <xm:sqref>M28</xm:sqref>
            </x14:sparkline>
            <x14:sparkline>
              <xm:f>'RATIO ANALYSIS'!C29:L29</xm:f>
              <xm:sqref>M29</xm:sqref>
            </x14:sparkline>
            <x14:sparkline>
              <xm:f>'RATIO ANALYSIS'!C30:L30</xm:f>
              <xm:sqref>M30</xm:sqref>
            </x14:sparkline>
            <x14:sparkline>
              <xm:f>'RATIO ANALYSIS'!C31:L31</xm:f>
              <xm:sqref>M31</xm:sqref>
            </x14:sparkline>
          </x14:sparklines>
        </x14:sparklineGroup>
        <x14:sparklineGroup displayEmptyCellsAs="gap" xr2:uid="{8E11E7D3-CA18-4E0C-838F-ABB36C18091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ANALYSIS'!C21:L21</xm:f>
              <xm:sqref>M21</xm:sqref>
            </x14:sparkline>
            <x14:sparkline>
              <xm:f>'RATIO ANALYSIS'!C22:L22</xm:f>
              <xm:sqref>M22</xm:sqref>
            </x14:sparkline>
            <x14:sparkline>
              <xm:f>'RATIO ANALYSIS'!C23:L23</xm:f>
              <xm:sqref>M23</xm:sqref>
            </x14:sparkline>
            <x14:sparkline>
              <xm:f>'RATIO ANALYSIS'!C24:L24</xm:f>
              <xm:sqref>M24</xm:sqref>
            </x14:sparkline>
            <x14:sparkline>
              <xm:f>'RATIO ANALYSIS'!C25:L25</xm:f>
              <xm:sqref>M25</xm:sqref>
            </x14:sparkline>
          </x14:sparklines>
        </x14:sparklineGroup>
        <x14:sparklineGroup displayEmptyCellsAs="gap" xr2:uid="{CDEE70E7-6931-4A98-9905-C2CE621AAE2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ANALYSIS'!C17:L17</xm:f>
              <xm:sqref>M17</xm:sqref>
            </x14:sparkline>
            <x14:sparkline>
              <xm:f>'RATIO ANALYSIS'!C18:L18</xm:f>
              <xm:sqref>M18</xm:sqref>
            </x14:sparkline>
            <x14:sparkline>
              <xm:f>'RATIO ANALYSIS'!C19:L19</xm:f>
              <xm:sqref>M19</xm:sqref>
            </x14:sparkline>
          </x14:sparklines>
        </x14:sparklineGroup>
        <x14:sparklineGroup displayEmptyCellsAs="gap" xr2:uid="{94591E5D-9E55-49AD-A39C-21E73134CFF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ANALYSIS'!C11:L11</xm:f>
              <xm:sqref>M11</xm:sqref>
            </x14:sparkline>
            <x14:sparkline>
              <xm:f>'RATIO ANALYSIS'!C12:L12</xm:f>
              <xm:sqref>M12</xm:sqref>
            </x14:sparkline>
            <x14:sparkline>
              <xm:f>'RATIO ANALYSIS'!C13:L13</xm:f>
              <xm:sqref>M13</xm:sqref>
            </x14:sparkline>
            <x14:sparkline>
              <xm:f>'RATIO ANALYSIS'!C14:L14</xm:f>
              <xm:sqref>M14</xm:sqref>
            </x14:sparkline>
            <x14:sparkline>
              <xm:f>'RATIO ANALYSIS'!C15:L15</xm:f>
              <xm:sqref>M15</xm:sqref>
            </x14:sparkline>
          </x14:sparklines>
        </x14:sparklineGroup>
        <x14:sparklineGroup displayEmptyCellsAs="gap" xr2:uid="{3E483B5D-4AA8-46AF-B27F-EECD174A24C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ANALYSIS'!D5:L5</xm:f>
              <xm:sqref>M5</xm:sqref>
            </x14:sparkline>
            <x14:sparkline>
              <xm:f>'RATIO ANALYSIS'!D6:L6</xm:f>
              <xm:sqref>M6</xm:sqref>
            </x14:sparkline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FE051-2879-4769-A712-CB9E10611868}">
  <sheetPr>
    <tabColor rgb="FF00B050"/>
  </sheetPr>
  <dimension ref="B2:N30"/>
  <sheetViews>
    <sheetView workbookViewId="0">
      <selection activeCell="M9" sqref="M9"/>
    </sheetView>
  </sheetViews>
  <sheetFormatPr defaultRowHeight="14.4" x14ac:dyDescent="0.3"/>
  <cols>
    <col min="1" max="1" width="1.88671875" style="25" customWidth="1"/>
    <col min="2" max="2" width="25.77734375" style="25" bestFit="1" customWidth="1"/>
    <col min="3" max="6" width="8.5546875" style="25" bestFit="1" customWidth="1"/>
    <col min="7" max="8" width="9.5546875" style="25" bestFit="1" customWidth="1"/>
    <col min="9" max="14" width="8.5546875" style="25" bestFit="1" customWidth="1"/>
    <col min="15" max="16384" width="8.88671875" style="25"/>
  </cols>
  <sheetData>
    <row r="2" spans="2:14" x14ac:dyDescent="0.3">
      <c r="C2" s="40">
        <v>42064</v>
      </c>
      <c r="D2" s="40">
        <v>42430</v>
      </c>
      <c r="E2" s="40">
        <v>42795</v>
      </c>
      <c r="F2" s="40">
        <v>43160</v>
      </c>
      <c r="G2" s="40">
        <v>43525</v>
      </c>
      <c r="H2" s="40">
        <v>43891</v>
      </c>
      <c r="I2" s="40">
        <v>44256</v>
      </c>
      <c r="J2" s="40">
        <v>44621</v>
      </c>
      <c r="K2" s="40">
        <v>44986</v>
      </c>
      <c r="L2" s="40">
        <v>45352</v>
      </c>
      <c r="M2" s="40">
        <v>45717</v>
      </c>
      <c r="N2" s="40">
        <v>46082</v>
      </c>
    </row>
    <row r="3" spans="2:14" x14ac:dyDescent="0.3">
      <c r="B3" s="25" t="s">
        <v>157</v>
      </c>
      <c r="C3" s="41">
        <v>34374</v>
      </c>
      <c r="D3" s="41">
        <v>38134</v>
      </c>
      <c r="E3" s="41">
        <v>49550</v>
      </c>
      <c r="F3" s="41">
        <v>71459</v>
      </c>
      <c r="G3" s="41">
        <v>42346</v>
      </c>
      <c r="H3" s="41">
        <v>94877</v>
      </c>
      <c r="I3" s="41">
        <v>26958</v>
      </c>
      <c r="J3" s="41">
        <v>110654</v>
      </c>
      <c r="K3" s="41">
        <v>115032</v>
      </c>
      <c r="L3" s="41">
        <v>158788</v>
      </c>
      <c r="M3" s="41">
        <v>178703</v>
      </c>
      <c r="N3" s="41">
        <v>192113</v>
      </c>
    </row>
    <row r="4" spans="2:14" x14ac:dyDescent="0.3">
      <c r="B4" s="25" t="s">
        <v>136</v>
      </c>
      <c r="C4" s="41">
        <v>38994</v>
      </c>
      <c r="D4" s="41">
        <v>38887</v>
      </c>
      <c r="E4" s="41">
        <v>44170</v>
      </c>
      <c r="F4" s="41">
        <v>62765</v>
      </c>
      <c r="G4" s="41">
        <v>83319</v>
      </c>
      <c r="H4" s="41">
        <v>85347</v>
      </c>
      <c r="I4" s="41">
        <v>80129</v>
      </c>
      <c r="J4" s="41">
        <v>113726</v>
      </c>
      <c r="K4" s="41">
        <v>140963</v>
      </c>
      <c r="L4" s="41">
        <v>164383</v>
      </c>
      <c r="M4" s="41">
        <v>166904</v>
      </c>
      <c r="N4" s="41">
        <v>189224</v>
      </c>
    </row>
    <row r="5" spans="2:14" x14ac:dyDescent="0.3">
      <c r="B5" s="25" t="s">
        <v>78</v>
      </c>
      <c r="C5" s="41">
        <v>1097</v>
      </c>
      <c r="D5" s="41">
        <v>-6880</v>
      </c>
      <c r="E5" s="41">
        <v>-8511</v>
      </c>
      <c r="F5" s="41">
        <v>-21991</v>
      </c>
      <c r="G5" s="41">
        <v>-40136</v>
      </c>
      <c r="H5" s="41">
        <v>-13792</v>
      </c>
      <c r="I5" s="25">
        <v>959</v>
      </c>
      <c r="J5" s="41">
        <v>-14180</v>
      </c>
      <c r="K5" s="41">
        <v>13194</v>
      </c>
      <c r="L5" s="41">
        <v>-15674</v>
      </c>
      <c r="M5" s="41">
        <v>-17837</v>
      </c>
      <c r="N5" s="41">
        <v>-53322</v>
      </c>
    </row>
    <row r="6" spans="2:14" x14ac:dyDescent="0.3">
      <c r="B6" s="25" t="s">
        <v>45</v>
      </c>
      <c r="C6" s="41">
        <v>3472</v>
      </c>
      <c r="D6" s="41">
        <v>6758</v>
      </c>
      <c r="E6" s="41">
        <v>-6899</v>
      </c>
      <c r="F6" s="41">
        <v>-10474</v>
      </c>
      <c r="G6" s="41">
        <v>-6724</v>
      </c>
      <c r="H6" s="41">
        <v>-6342</v>
      </c>
      <c r="I6" s="41">
        <v>-7769</v>
      </c>
      <c r="J6" s="41">
        <v>-24983</v>
      </c>
      <c r="K6" s="41">
        <v>-32228</v>
      </c>
      <c r="L6" s="41">
        <v>-12756</v>
      </c>
      <c r="M6" s="41">
        <v>3134</v>
      </c>
      <c r="N6" s="41">
        <v>-20790</v>
      </c>
    </row>
    <row r="7" spans="2:14" x14ac:dyDescent="0.3">
      <c r="B7" s="25" t="s">
        <v>137</v>
      </c>
      <c r="C7" s="41">
        <v>-2754</v>
      </c>
      <c r="D7" s="41">
        <v>7951</v>
      </c>
      <c r="E7" s="41">
        <v>30873</v>
      </c>
      <c r="F7" s="41">
        <v>51003</v>
      </c>
      <c r="G7" s="41">
        <v>18078</v>
      </c>
      <c r="H7" s="41">
        <v>38050</v>
      </c>
      <c r="I7" s="41">
        <v>-43148</v>
      </c>
      <c r="J7" s="41">
        <v>39888</v>
      </c>
      <c r="K7" s="25">
        <v>-600</v>
      </c>
      <c r="L7" s="41">
        <v>34796</v>
      </c>
      <c r="M7" s="41">
        <v>38427</v>
      </c>
      <c r="N7" s="41">
        <v>86609</v>
      </c>
    </row>
    <row r="8" spans="2:14" x14ac:dyDescent="0.3">
      <c r="B8" s="25" t="s">
        <v>138</v>
      </c>
      <c r="C8" s="41">
        <v>1815</v>
      </c>
      <c r="D8" s="41">
        <v>7829</v>
      </c>
      <c r="E8" s="41">
        <v>15463</v>
      </c>
      <c r="F8" s="41">
        <v>18538</v>
      </c>
      <c r="G8" s="41">
        <v>-28782</v>
      </c>
      <c r="H8" s="41">
        <v>17916</v>
      </c>
      <c r="I8" s="41">
        <v>-49958</v>
      </c>
      <c r="J8" s="25">
        <v>725</v>
      </c>
      <c r="K8" s="41">
        <v>-19634</v>
      </c>
      <c r="L8" s="41">
        <v>6366</v>
      </c>
      <c r="M8" s="41">
        <v>23724</v>
      </c>
      <c r="N8" s="41">
        <v>12497</v>
      </c>
    </row>
    <row r="9" spans="2:14" x14ac:dyDescent="0.3">
      <c r="B9" s="25" t="s">
        <v>139</v>
      </c>
      <c r="C9" s="41">
        <v>-6435</v>
      </c>
      <c r="D9" s="41">
        <v>-8582</v>
      </c>
      <c r="E9" s="41">
        <v>-10083</v>
      </c>
      <c r="F9" s="41">
        <v>-9844</v>
      </c>
      <c r="G9" s="41">
        <v>-12191</v>
      </c>
      <c r="H9" s="41">
        <v>-8386</v>
      </c>
      <c r="I9" s="41">
        <v>-3213</v>
      </c>
      <c r="J9" s="41">
        <v>-3797</v>
      </c>
      <c r="K9" s="41">
        <v>-6297</v>
      </c>
      <c r="L9" s="41">
        <v>-11961</v>
      </c>
      <c r="M9" s="41">
        <v>-11925</v>
      </c>
      <c r="N9" s="41">
        <v>-9608</v>
      </c>
    </row>
    <row r="10" spans="2:14" x14ac:dyDescent="0.3">
      <c r="B10" s="25" t="s">
        <v>158</v>
      </c>
      <c r="C10" s="41">
        <v>-64706</v>
      </c>
      <c r="D10" s="41">
        <v>-36186</v>
      </c>
      <c r="E10" s="41">
        <v>-66201</v>
      </c>
      <c r="F10" s="41">
        <v>-68192</v>
      </c>
      <c r="G10" s="41">
        <v>-94507</v>
      </c>
      <c r="H10" s="41">
        <v>-72497</v>
      </c>
      <c r="I10" s="41">
        <v>-142385</v>
      </c>
      <c r="J10" s="41">
        <v>-109162</v>
      </c>
      <c r="K10" s="41">
        <v>-93001</v>
      </c>
      <c r="L10" s="41">
        <v>-113581</v>
      </c>
      <c r="M10" s="41">
        <v>-137535</v>
      </c>
      <c r="N10" s="41">
        <v>-101089</v>
      </c>
    </row>
    <row r="11" spans="2:14" x14ac:dyDescent="0.3">
      <c r="B11" s="25" t="s">
        <v>140</v>
      </c>
      <c r="C11" s="41">
        <v>-63364</v>
      </c>
      <c r="D11" s="41">
        <v>-46898</v>
      </c>
      <c r="E11" s="41">
        <v>-78109</v>
      </c>
      <c r="F11" s="41">
        <v>-73953</v>
      </c>
      <c r="G11" s="41">
        <v>-93626</v>
      </c>
      <c r="H11" s="41">
        <v>-76517</v>
      </c>
      <c r="I11" s="41">
        <v>-105837</v>
      </c>
      <c r="J11" s="41">
        <v>-100145</v>
      </c>
      <c r="K11" s="41">
        <v>-140988</v>
      </c>
      <c r="L11" s="41">
        <v>-152883</v>
      </c>
      <c r="M11" s="41">
        <v>-139967</v>
      </c>
      <c r="N11" s="41">
        <v>-122916</v>
      </c>
    </row>
    <row r="12" spans="2:14" x14ac:dyDescent="0.3">
      <c r="B12" s="25" t="s">
        <v>141</v>
      </c>
      <c r="C12" s="25">
        <v>402</v>
      </c>
      <c r="D12" s="25">
        <v>344</v>
      </c>
      <c r="E12" s="41">
        <v>1482</v>
      </c>
      <c r="F12" s="25">
        <v>999</v>
      </c>
      <c r="G12" s="25">
        <v>849</v>
      </c>
      <c r="H12" s="25">
        <v>964</v>
      </c>
      <c r="I12" s="41">
        <v>2319</v>
      </c>
      <c r="J12" s="41">
        <v>3137</v>
      </c>
      <c r="K12" s="41">
        <v>9186</v>
      </c>
      <c r="L12" s="41">
        <v>15307</v>
      </c>
      <c r="M12" s="41">
        <v>2343</v>
      </c>
      <c r="N12" s="25">
        <v>826</v>
      </c>
    </row>
    <row r="13" spans="2:14" x14ac:dyDescent="0.3">
      <c r="B13" s="25" t="s">
        <v>142</v>
      </c>
      <c r="C13" s="41">
        <v>-678241</v>
      </c>
      <c r="D13" s="41">
        <v>-715334</v>
      </c>
      <c r="E13" s="41">
        <v>-654760</v>
      </c>
      <c r="F13" s="41">
        <v>-533984</v>
      </c>
      <c r="G13" s="41">
        <v>-1107439</v>
      </c>
      <c r="H13" s="41">
        <v>-1156843</v>
      </c>
      <c r="I13" s="41">
        <v>-689866</v>
      </c>
      <c r="J13" s="41">
        <v>-667878</v>
      </c>
      <c r="K13" s="41">
        <v>-471822</v>
      </c>
      <c r="L13" s="41">
        <v>-513660</v>
      </c>
      <c r="M13" s="41">
        <v>-684340</v>
      </c>
      <c r="N13" s="41">
        <v>-988777</v>
      </c>
    </row>
    <row r="14" spans="2:14" x14ac:dyDescent="0.3">
      <c r="B14" s="25" t="s">
        <v>143</v>
      </c>
      <c r="C14" s="41">
        <v>666383</v>
      </c>
      <c r="D14" s="41">
        <v>721182</v>
      </c>
      <c r="E14" s="41">
        <v>663990</v>
      </c>
      <c r="F14" s="41">
        <v>537504</v>
      </c>
      <c r="G14" s="41">
        <v>1103615</v>
      </c>
      <c r="H14" s="41">
        <v>1174796</v>
      </c>
      <c r="I14" s="41">
        <v>642551</v>
      </c>
      <c r="J14" s="41">
        <v>668137</v>
      </c>
      <c r="K14" s="41">
        <v>501266</v>
      </c>
      <c r="L14" s="41">
        <v>531355</v>
      </c>
      <c r="M14" s="41">
        <v>672558</v>
      </c>
      <c r="N14" s="41">
        <v>991876</v>
      </c>
    </row>
    <row r="15" spans="2:14" x14ac:dyDescent="0.3">
      <c r="B15" s="25" t="s">
        <v>144</v>
      </c>
      <c r="C15" s="41">
        <v>6055</v>
      </c>
      <c r="D15" s="41">
        <v>2942</v>
      </c>
      <c r="E15" s="41">
        <v>1110</v>
      </c>
      <c r="F15" s="41">
        <v>1310</v>
      </c>
      <c r="G15" s="25">
        <v>972</v>
      </c>
      <c r="H15" s="41">
        <v>1441</v>
      </c>
      <c r="I15" s="41">
        <v>8400</v>
      </c>
      <c r="J15" s="41">
        <v>5933</v>
      </c>
      <c r="K15" s="41">
        <v>11103</v>
      </c>
      <c r="L15" s="41">
        <v>10648</v>
      </c>
      <c r="M15" s="41">
        <v>15833</v>
      </c>
      <c r="N15" s="41">
        <v>13538</v>
      </c>
    </row>
    <row r="16" spans="2:14" x14ac:dyDescent="0.3">
      <c r="B16" s="25" t="s">
        <v>145</v>
      </c>
      <c r="C16" s="25">
        <v>548</v>
      </c>
      <c r="D16" s="25">
        <v>732</v>
      </c>
      <c r="E16" s="25">
        <v>345</v>
      </c>
      <c r="F16" s="41">
        <v>1021</v>
      </c>
      <c r="G16" s="25">
        <v>501</v>
      </c>
      <c r="H16" s="25">
        <v>78</v>
      </c>
      <c r="I16" s="25">
        <v>26</v>
      </c>
      <c r="J16" s="25">
        <v>19</v>
      </c>
      <c r="K16" s="25">
        <v>20</v>
      </c>
      <c r="L16" s="25">
        <v>75</v>
      </c>
      <c r="M16" s="25">
        <v>612</v>
      </c>
      <c r="N16" s="41">
        <v>9100</v>
      </c>
    </row>
    <row r="17" spans="2:14" x14ac:dyDescent="0.3">
      <c r="B17" s="25" t="s">
        <v>146</v>
      </c>
      <c r="C17" s="41">
        <v>3511</v>
      </c>
      <c r="D17" s="25">
        <v>846</v>
      </c>
      <c r="E17" s="25">
        <v>-259</v>
      </c>
      <c r="F17" s="41">
        <v>-1089</v>
      </c>
      <c r="G17" s="25">
        <v>621</v>
      </c>
      <c r="H17" s="41">
        <v>-16416</v>
      </c>
      <c r="I17" s="25">
        <v>22</v>
      </c>
      <c r="J17" s="41">
        <v>-18365</v>
      </c>
      <c r="K17" s="41">
        <v>-1766</v>
      </c>
      <c r="L17" s="41">
        <v>-4423</v>
      </c>
      <c r="M17" s="41">
        <v>-4574</v>
      </c>
      <c r="N17" s="41">
        <v>-4736</v>
      </c>
    </row>
    <row r="18" spans="2:14" x14ac:dyDescent="0.3">
      <c r="B18" s="25" t="s">
        <v>159</v>
      </c>
      <c r="C18" s="41">
        <v>8444</v>
      </c>
      <c r="D18" s="41">
        <v>-3210</v>
      </c>
      <c r="E18" s="41">
        <v>8617</v>
      </c>
      <c r="F18" s="41">
        <v>-2001</v>
      </c>
      <c r="G18" s="41">
        <v>55906</v>
      </c>
      <c r="H18" s="41">
        <v>-2541</v>
      </c>
      <c r="I18" s="41">
        <v>101904</v>
      </c>
      <c r="J18" s="41">
        <v>17289</v>
      </c>
      <c r="K18" s="41">
        <v>10455</v>
      </c>
      <c r="L18" s="41">
        <v>-16646</v>
      </c>
      <c r="M18" s="41">
        <v>-31891</v>
      </c>
      <c r="N18" s="41">
        <v>-51549</v>
      </c>
    </row>
    <row r="19" spans="2:14" x14ac:dyDescent="0.3">
      <c r="B19" s="25" t="s">
        <v>147</v>
      </c>
      <c r="C19" s="25">
        <v>343</v>
      </c>
      <c r="D19" s="25">
        <v>288</v>
      </c>
      <c r="E19" s="25">
        <v>811</v>
      </c>
      <c r="F19" s="25">
        <v>406</v>
      </c>
      <c r="G19" s="25">
        <v>230</v>
      </c>
      <c r="H19" s="25">
        <v>129</v>
      </c>
      <c r="I19" s="25">
        <v>5</v>
      </c>
      <c r="J19" s="25">
        <v>455</v>
      </c>
      <c r="K19" s="25">
        <v>479</v>
      </c>
      <c r="L19" s="41">
        <v>20915</v>
      </c>
      <c r="M19" s="25">
        <v>0</v>
      </c>
      <c r="N19" s="25">
        <v>0</v>
      </c>
    </row>
    <row r="20" spans="2:14" x14ac:dyDescent="0.3">
      <c r="B20" s="25" t="s">
        <v>148</v>
      </c>
      <c r="C20" s="41">
        <v>29413</v>
      </c>
      <c r="D20" s="41">
        <v>34673</v>
      </c>
      <c r="E20" s="41">
        <v>31728</v>
      </c>
      <c r="F20" s="41">
        <v>36970</v>
      </c>
      <c r="G20" s="41">
        <v>106701</v>
      </c>
      <c r="H20" s="41">
        <v>53760</v>
      </c>
      <c r="I20" s="41">
        <v>46421</v>
      </c>
      <c r="J20" s="41">
        <v>59343</v>
      </c>
      <c r="K20" s="41">
        <v>67134</v>
      </c>
      <c r="L20" s="41">
        <v>69610</v>
      </c>
      <c r="M20" s="41">
        <v>51002</v>
      </c>
      <c r="N20" s="41">
        <v>38871</v>
      </c>
    </row>
    <row r="21" spans="2:14" x14ac:dyDescent="0.3">
      <c r="B21" s="25" t="s">
        <v>149</v>
      </c>
      <c r="C21" s="41">
        <v>-11909</v>
      </c>
      <c r="D21" s="41">
        <v>-21693</v>
      </c>
      <c r="E21" s="41">
        <v>-18542</v>
      </c>
      <c r="F21" s="41">
        <v>-19813</v>
      </c>
      <c r="G21" s="41">
        <v>-20245</v>
      </c>
      <c r="H21" s="41">
        <v>-18179</v>
      </c>
      <c r="I21" s="41">
        <v>-116921</v>
      </c>
      <c r="J21" s="41">
        <v>-49493</v>
      </c>
      <c r="K21" s="41">
        <v>-29059</v>
      </c>
      <c r="L21" s="41">
        <v>-60348</v>
      </c>
      <c r="M21" s="41">
        <v>-31755</v>
      </c>
      <c r="N21" s="41">
        <v>-36052</v>
      </c>
    </row>
    <row r="22" spans="2:14" x14ac:dyDescent="0.3">
      <c r="B22" s="25" t="s">
        <v>150</v>
      </c>
      <c r="C22" s="41">
        <v>-6149</v>
      </c>
      <c r="D22" s="41">
        <v>-9224</v>
      </c>
      <c r="E22" s="41">
        <v>-12920</v>
      </c>
      <c r="F22" s="41">
        <v>-17669</v>
      </c>
      <c r="G22" s="41">
        <v>-23338</v>
      </c>
      <c r="H22" s="41">
        <v>-28508</v>
      </c>
      <c r="I22" s="41">
        <v>-18340</v>
      </c>
      <c r="J22" s="41">
        <v>-26349</v>
      </c>
      <c r="K22" s="41">
        <v>-21650</v>
      </c>
      <c r="L22" s="41">
        <v>-37173</v>
      </c>
      <c r="M22" s="41">
        <v>-41024</v>
      </c>
      <c r="N22" s="41">
        <v>-39981</v>
      </c>
    </row>
    <row r="23" spans="2:14" x14ac:dyDescent="0.3">
      <c r="B23" s="25" t="s">
        <v>151</v>
      </c>
      <c r="C23" s="41">
        <v>-3268</v>
      </c>
      <c r="D23" s="41">
        <v>-7259</v>
      </c>
      <c r="E23" s="25">
        <v>-53</v>
      </c>
      <c r="F23" s="41">
        <v>-3916</v>
      </c>
      <c r="G23" s="41">
        <v>-4282</v>
      </c>
      <c r="H23" s="41">
        <v>-4592</v>
      </c>
      <c r="I23" s="41">
        <v>-3921</v>
      </c>
      <c r="J23" s="41">
        <v>-4297</v>
      </c>
      <c r="K23" s="41">
        <v>-5083</v>
      </c>
      <c r="L23" s="41">
        <v>-6089</v>
      </c>
      <c r="M23" s="41">
        <v>-7180</v>
      </c>
      <c r="N23" s="41">
        <v>-7443</v>
      </c>
    </row>
    <row r="24" spans="2:14" x14ac:dyDescent="0.3">
      <c r="B24" s="25" t="s">
        <v>152</v>
      </c>
      <c r="C24" s="25">
        <v>0</v>
      </c>
      <c r="D24" s="25">
        <v>0</v>
      </c>
      <c r="E24" s="25">
        <v>0</v>
      </c>
      <c r="F24" s="25">
        <v>0</v>
      </c>
      <c r="G24" s="25">
        <v>0</v>
      </c>
      <c r="H24" s="41">
        <v>-1062</v>
      </c>
      <c r="I24" s="41">
        <v>-1022</v>
      </c>
      <c r="J24" s="41">
        <v>-2132</v>
      </c>
      <c r="K24" s="41">
        <v>-1406</v>
      </c>
      <c r="L24" s="41">
        <v>-2483</v>
      </c>
      <c r="M24" s="41">
        <v>-2956</v>
      </c>
      <c r="N24" s="41">
        <v>-6508</v>
      </c>
    </row>
    <row r="25" spans="2:14" x14ac:dyDescent="0.3">
      <c r="B25" s="25" t="s">
        <v>153</v>
      </c>
      <c r="C25" s="25">
        <v>17</v>
      </c>
      <c r="D25" s="25">
        <v>8</v>
      </c>
      <c r="E25" s="25">
        <v>4</v>
      </c>
      <c r="F25" s="25">
        <v>15</v>
      </c>
      <c r="G25" s="25">
        <v>2</v>
      </c>
      <c r="H25" s="25">
        <v>1</v>
      </c>
      <c r="I25" s="25">
        <v>0</v>
      </c>
      <c r="J25" s="25">
        <v>0</v>
      </c>
      <c r="K25" s="25">
        <v>0</v>
      </c>
      <c r="L25" s="25">
        <v>0</v>
      </c>
      <c r="M25" s="25">
        <v>0</v>
      </c>
      <c r="N25" s="25">
        <v>0</v>
      </c>
    </row>
    <row r="26" spans="2:14" x14ac:dyDescent="0.3">
      <c r="B26" s="25" t="s">
        <v>154</v>
      </c>
      <c r="C26" s="25">
        <v>-3</v>
      </c>
      <c r="D26" s="25">
        <v>-3</v>
      </c>
      <c r="E26" s="41">
        <v>7589</v>
      </c>
      <c r="F26" s="41">
        <v>2006</v>
      </c>
      <c r="G26" s="41">
        <v>-3162</v>
      </c>
      <c r="H26" s="41">
        <v>-4090</v>
      </c>
      <c r="I26" s="41">
        <v>195682</v>
      </c>
      <c r="J26" s="41">
        <v>39762</v>
      </c>
      <c r="K26" s="25">
        <v>40</v>
      </c>
      <c r="L26" s="41">
        <v>-1078</v>
      </c>
      <c r="M26" s="25">
        <v>22</v>
      </c>
      <c r="N26" s="25">
        <v>-436</v>
      </c>
    </row>
    <row r="27" spans="2:14" x14ac:dyDescent="0.3">
      <c r="B27" s="25" t="s">
        <v>35</v>
      </c>
      <c r="C27" s="41">
        <v>-21888</v>
      </c>
      <c r="D27" s="41">
        <v>-1262</v>
      </c>
      <c r="E27" s="41">
        <v>-8034</v>
      </c>
      <c r="F27" s="41">
        <v>1266</v>
      </c>
      <c r="G27" s="41">
        <v>3745</v>
      </c>
      <c r="H27" s="41">
        <v>19839</v>
      </c>
      <c r="I27" s="41">
        <v>-13523</v>
      </c>
      <c r="J27" s="41">
        <v>18781</v>
      </c>
      <c r="K27" s="41">
        <v>32486</v>
      </c>
      <c r="L27" s="41">
        <v>28561</v>
      </c>
      <c r="M27" s="41">
        <v>9277</v>
      </c>
      <c r="N27" s="41">
        <v>39475</v>
      </c>
    </row>
    <row r="28" spans="2:14" x14ac:dyDescent="0.3">
      <c r="B28" s="25" t="s">
        <v>155</v>
      </c>
      <c r="C28" s="41">
        <v>-28588</v>
      </c>
      <c r="D28" s="41">
        <v>-8420</v>
      </c>
      <c r="E28" s="41">
        <v>-27077</v>
      </c>
      <c r="F28" s="41">
        <v>-1495</v>
      </c>
      <c r="G28" s="41">
        <v>-50431</v>
      </c>
      <c r="H28" s="41">
        <v>19324</v>
      </c>
      <c r="I28" s="41">
        <v>-76560</v>
      </c>
      <c r="J28" s="41">
        <v>13646</v>
      </c>
      <c r="K28" s="41">
        <v>-16770</v>
      </c>
      <c r="L28" s="41">
        <v>21212</v>
      </c>
      <c r="M28" s="41">
        <v>41079</v>
      </c>
      <c r="N28" s="41">
        <v>70023</v>
      </c>
    </row>
    <row r="29" spans="2:14" x14ac:dyDescent="0.3">
      <c r="B29" s="25" t="s">
        <v>156</v>
      </c>
      <c r="C29" s="42">
        <v>1.0900000000000001</v>
      </c>
      <c r="D29" s="42">
        <v>1.1200000000000001</v>
      </c>
      <c r="E29" s="42">
        <v>1.29</v>
      </c>
      <c r="F29" s="42">
        <v>1.26</v>
      </c>
      <c r="G29" s="42">
        <v>0.65</v>
      </c>
      <c r="H29" s="42">
        <v>1.1599999999999999</v>
      </c>
      <c r="I29" s="42">
        <v>0.37</v>
      </c>
      <c r="J29" s="42">
        <v>1.05</v>
      </c>
      <c r="K29" s="42">
        <v>0.85</v>
      </c>
      <c r="L29" s="42">
        <v>1.05</v>
      </c>
      <c r="M29" s="42">
        <v>1.1499999999999999</v>
      </c>
      <c r="N29" s="42">
        <v>1.1299999999999999</v>
      </c>
    </row>
    <row r="30" spans="2:14" x14ac:dyDescent="0.3">
      <c r="C30" s="41">
        <f t="shared" ref="C30:N30" si="0">SUM(C3:C29)</f>
        <v>-92435.91</v>
      </c>
      <c r="D30" s="41">
        <f t="shared" si="0"/>
        <v>-4375.88</v>
      </c>
      <c r="E30" s="41">
        <f t="shared" si="0"/>
        <v>-35714.71</v>
      </c>
      <c r="F30" s="41">
        <f t="shared" si="0"/>
        <v>20842.259999999998</v>
      </c>
      <c r="G30" s="41">
        <f t="shared" si="0"/>
        <v>-67977.350000000006</v>
      </c>
      <c r="H30" s="41">
        <f t="shared" si="0"/>
        <v>96758.16</v>
      </c>
      <c r="I30" s="41">
        <f t="shared" si="0"/>
        <v>-167086.63</v>
      </c>
      <c r="J30" s="41">
        <f t="shared" si="0"/>
        <v>70715.05</v>
      </c>
      <c r="K30" s="41">
        <f t="shared" si="0"/>
        <v>61054.85</v>
      </c>
      <c r="L30" s="41">
        <f t="shared" si="0"/>
        <v>113262.05</v>
      </c>
      <c r="M30" s="41">
        <f t="shared" si="0"/>
        <v>92635.15</v>
      </c>
      <c r="N30" s="41">
        <f t="shared" si="0"/>
        <v>200946.13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5E1E1-F167-4FF9-B21F-D864ED06D8C9}">
  <dimension ref="B2:L42"/>
  <sheetViews>
    <sheetView showGridLines="0" tabSelected="1" topLeftCell="A17" workbookViewId="0">
      <selection activeCell="B43" sqref="B43"/>
    </sheetView>
  </sheetViews>
  <sheetFormatPr defaultRowHeight="14.4" x14ac:dyDescent="0.3"/>
  <cols>
    <col min="1" max="1" width="2.33203125" customWidth="1"/>
    <col min="2" max="2" width="38.33203125" bestFit="1" customWidth="1"/>
    <col min="3" max="3" width="9" bestFit="1" customWidth="1"/>
    <col min="4" max="4" width="9.5546875" bestFit="1" customWidth="1"/>
    <col min="5" max="5" width="10.6640625" bestFit="1" customWidth="1"/>
    <col min="6" max="6" width="9.5546875" bestFit="1" customWidth="1"/>
    <col min="7" max="7" width="10.6640625" bestFit="1" customWidth="1"/>
    <col min="8" max="8" width="9.5546875" customWidth="1"/>
    <col min="9" max="9" width="11" customWidth="1"/>
    <col min="10" max="10" width="11.5546875" customWidth="1"/>
    <col min="11" max="11" width="9.33203125" bestFit="1" customWidth="1"/>
    <col min="12" max="12" width="11.6640625" bestFit="1" customWidth="1"/>
  </cols>
  <sheetData>
    <row r="2" spans="2:12" x14ac:dyDescent="0.3">
      <c r="B2" s="93" t="s">
        <v>213</v>
      </c>
      <c r="C2" s="93"/>
      <c r="D2" s="93"/>
      <c r="E2" s="93"/>
      <c r="F2" s="93"/>
      <c r="G2" s="93"/>
      <c r="H2" s="93"/>
      <c r="I2" s="93"/>
      <c r="J2" s="93"/>
    </row>
    <row r="4" spans="2:12" x14ac:dyDescent="0.3">
      <c r="B4" s="94" t="s">
        <v>214</v>
      </c>
    </row>
    <row r="5" spans="2:12" x14ac:dyDescent="0.3">
      <c r="B5" s="94"/>
    </row>
    <row r="6" spans="2:12" x14ac:dyDescent="0.3">
      <c r="B6" s="95" t="s">
        <v>226</v>
      </c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2:12" x14ac:dyDescent="0.3">
      <c r="I7" t="s">
        <v>219</v>
      </c>
      <c r="J7" t="s">
        <v>219</v>
      </c>
      <c r="K7" t="s">
        <v>222</v>
      </c>
      <c r="L7" t="s">
        <v>223</v>
      </c>
    </row>
    <row r="8" spans="2:12" ht="17.399999999999999" x14ac:dyDescent="0.3">
      <c r="B8" s="61" t="s">
        <v>215</v>
      </c>
      <c r="C8" s="61"/>
      <c r="D8" s="61"/>
      <c r="E8" s="61" t="s">
        <v>216</v>
      </c>
      <c r="F8" s="61" t="s">
        <v>217</v>
      </c>
      <c r="G8" s="61" t="s">
        <v>218</v>
      </c>
      <c r="H8" s="61" t="s">
        <v>232</v>
      </c>
      <c r="I8" s="61" t="s">
        <v>220</v>
      </c>
      <c r="J8" s="61" t="s">
        <v>221</v>
      </c>
      <c r="K8" s="61" t="s">
        <v>225</v>
      </c>
      <c r="L8" s="61" t="s">
        <v>224</v>
      </c>
    </row>
    <row r="9" spans="2:12" x14ac:dyDescent="0.3">
      <c r="B9" s="100"/>
      <c r="C9" s="100"/>
      <c r="D9" s="100"/>
      <c r="E9" s="100"/>
      <c r="F9" s="100"/>
      <c r="G9" s="100"/>
      <c r="H9" s="100"/>
      <c r="I9" s="100"/>
      <c r="J9" s="100"/>
      <c r="L9" s="100"/>
    </row>
    <row r="10" spans="2:12" x14ac:dyDescent="0.3">
      <c r="B10" s="96" t="s">
        <v>227</v>
      </c>
      <c r="C10" s="96"/>
      <c r="D10" s="96"/>
      <c r="E10" s="97" t="s">
        <v>233</v>
      </c>
      <c r="F10" s="98">
        <v>1139</v>
      </c>
      <c r="G10" s="98">
        <v>611503.9</v>
      </c>
      <c r="H10" s="108">
        <v>0.3</v>
      </c>
      <c r="I10" s="101">
        <f>F10/G10</f>
        <v>1.8626209906429051E-3</v>
      </c>
      <c r="J10" s="101">
        <f>F10/(F10+G10)</f>
        <v>1.8591580837711494E-3</v>
      </c>
      <c r="K10" s="112">
        <v>1</v>
      </c>
      <c r="L10" s="113">
        <f>K10/(1+(1-H10)*I10)</f>
        <v>0.99869786307784481</v>
      </c>
    </row>
    <row r="11" spans="2:12" x14ac:dyDescent="0.3">
      <c r="B11" s="99" t="s">
        <v>228</v>
      </c>
      <c r="C11" s="99"/>
      <c r="D11" s="99"/>
      <c r="E11" s="97" t="s">
        <v>233</v>
      </c>
      <c r="F11" s="98">
        <v>279.89999999999998</v>
      </c>
      <c r="G11" s="98">
        <v>182975</v>
      </c>
      <c r="H11" s="108">
        <v>0.3</v>
      </c>
      <c r="I11" s="101">
        <f t="shared" ref="I11:I14" si="0">F11/G11</f>
        <v>1.5297171744773875E-3</v>
      </c>
      <c r="J11" s="101">
        <f t="shared" ref="J11:J14" si="1">F11/(F11+G11)</f>
        <v>1.5273807139672662E-3</v>
      </c>
      <c r="K11" s="112">
        <v>1</v>
      </c>
      <c r="L11" s="113">
        <f t="shared" ref="L11:L14" si="2">K11/(1+(1-H11)*I11)</f>
        <v>0.99893034336834996</v>
      </c>
    </row>
    <row r="12" spans="2:12" x14ac:dyDescent="0.3">
      <c r="B12" s="99" t="s">
        <v>229</v>
      </c>
      <c r="C12" s="99"/>
      <c r="D12" s="99"/>
      <c r="E12" s="97" t="s">
        <v>233</v>
      </c>
      <c r="F12" s="98">
        <v>3037.7</v>
      </c>
      <c r="G12" s="98">
        <v>110690</v>
      </c>
      <c r="H12" s="108">
        <v>0.3</v>
      </c>
      <c r="I12" s="101">
        <f t="shared" si="0"/>
        <v>2.7443310145451257E-2</v>
      </c>
      <c r="J12" s="101">
        <f t="shared" si="1"/>
        <v>2.6710291336235585E-2</v>
      </c>
      <c r="K12" s="112">
        <v>1</v>
      </c>
      <c r="L12" s="113">
        <f t="shared" si="2"/>
        <v>0.98115176349819389</v>
      </c>
    </row>
    <row r="13" spans="2:12" x14ac:dyDescent="0.3">
      <c r="B13" s="99" t="s">
        <v>230</v>
      </c>
      <c r="C13" s="99"/>
      <c r="D13" s="99"/>
      <c r="E13" s="97" t="s">
        <v>233</v>
      </c>
      <c r="F13" s="98">
        <v>1164.5</v>
      </c>
      <c r="G13" s="98">
        <v>96254.399999999994</v>
      </c>
      <c r="H13" s="108">
        <v>0.3</v>
      </c>
      <c r="I13" s="101">
        <f t="shared" si="0"/>
        <v>1.209814824049602E-2</v>
      </c>
      <c r="J13" s="101">
        <f t="shared" si="1"/>
        <v>1.195353263073182E-2</v>
      </c>
      <c r="K13" s="112">
        <v>1</v>
      </c>
      <c r="L13" s="113">
        <f t="shared" si="2"/>
        <v>0.99160241290909445</v>
      </c>
    </row>
    <row r="14" spans="2:12" x14ac:dyDescent="0.3">
      <c r="B14" s="99" t="s">
        <v>231</v>
      </c>
      <c r="C14" s="99"/>
      <c r="D14" s="99"/>
      <c r="E14" s="97" t="s">
        <v>233</v>
      </c>
      <c r="F14" s="98">
        <v>1068.0999999999999</v>
      </c>
      <c r="G14" s="98">
        <v>94940.4</v>
      </c>
      <c r="H14" s="108">
        <v>0.3</v>
      </c>
      <c r="I14" s="101">
        <f t="shared" si="0"/>
        <v>1.1250215924938172E-2</v>
      </c>
      <c r="J14" s="101">
        <f t="shared" si="1"/>
        <v>1.1125056635610388E-2</v>
      </c>
      <c r="K14" s="112">
        <v>1</v>
      </c>
      <c r="L14" s="113">
        <f t="shared" si="2"/>
        <v>0.9921863822731507</v>
      </c>
    </row>
    <row r="15" spans="2:12" x14ac:dyDescent="0.3">
      <c r="I15" s="114"/>
      <c r="J15" s="114"/>
    </row>
    <row r="16" spans="2:12" x14ac:dyDescent="0.3">
      <c r="G16" s="103" t="s">
        <v>234</v>
      </c>
      <c r="H16" s="106">
        <f>AVERAGE(H10:H14)</f>
        <v>0.3</v>
      </c>
      <c r="I16" s="106">
        <f>AVERAGE(I10:I14)</f>
        <v>1.0836802495201147E-2</v>
      </c>
      <c r="J16" s="106">
        <f>AVERAGE(J10:J14)</f>
        <v>1.0635083880063243E-2</v>
      </c>
      <c r="K16" s="110">
        <f>AVERAGE(K10:K14)</f>
        <v>1</v>
      </c>
      <c r="L16" s="110">
        <f>AVERAGE(L10:L14)</f>
        <v>0.99251375302532663</v>
      </c>
    </row>
    <row r="17" spans="2:12" x14ac:dyDescent="0.3">
      <c r="G17" s="105" t="s">
        <v>209</v>
      </c>
      <c r="H17" s="107">
        <f>MEDIAN(H10:H14)</f>
        <v>0.3</v>
      </c>
      <c r="I17" s="107">
        <f>MEDIAN(I10:I14)</f>
        <v>1.1250215924938172E-2</v>
      </c>
      <c r="J17" s="107">
        <f>MEDIAN(J10:J14)</f>
        <v>1.1125056635610388E-2</v>
      </c>
      <c r="K17" s="111">
        <f>MEDIAN(K10:K14)</f>
        <v>1</v>
      </c>
      <c r="L17" s="111">
        <f>MEDIAN(L10:L14)</f>
        <v>0.9921863822731507</v>
      </c>
    </row>
    <row r="20" spans="2:12" x14ac:dyDescent="0.3">
      <c r="B20" s="105" t="s">
        <v>235</v>
      </c>
      <c r="C20" s="61"/>
      <c r="D20" s="61"/>
      <c r="E20" s="105"/>
      <c r="H20" s="105" t="s">
        <v>239</v>
      </c>
      <c r="I20" s="61"/>
      <c r="J20" s="61"/>
      <c r="K20" s="61"/>
      <c r="L20" s="61"/>
    </row>
    <row r="22" spans="2:12" x14ac:dyDescent="0.3">
      <c r="B22" t="s">
        <v>236</v>
      </c>
      <c r="E22" s="108">
        <v>8.4000000000000005E-2</v>
      </c>
      <c r="H22" t="s">
        <v>240</v>
      </c>
      <c r="L22" s="108">
        <v>6.5000000000000002E-2</v>
      </c>
    </row>
    <row r="23" spans="2:12" x14ac:dyDescent="0.3">
      <c r="B23" t="s">
        <v>237</v>
      </c>
      <c r="E23" s="108">
        <v>0.3</v>
      </c>
      <c r="H23" t="s">
        <v>241</v>
      </c>
      <c r="L23" s="108">
        <v>0.08</v>
      </c>
    </row>
    <row r="24" spans="2:12" ht="17.399999999999999" x14ac:dyDescent="0.3">
      <c r="B24" s="104" t="s">
        <v>238</v>
      </c>
      <c r="C24" s="104"/>
      <c r="D24" s="104"/>
      <c r="E24" s="116">
        <f>E22*(1-E23)</f>
        <v>5.8799999999999998E-2</v>
      </c>
      <c r="H24" t="s">
        <v>243</v>
      </c>
      <c r="L24" s="102">
        <f>L33</f>
        <v>1.5055349887536069</v>
      </c>
    </row>
    <row r="25" spans="2:12" x14ac:dyDescent="0.3">
      <c r="H25" s="104" t="s">
        <v>239</v>
      </c>
      <c r="I25" s="104"/>
      <c r="J25" s="104"/>
      <c r="K25" s="104"/>
      <c r="L25" s="116">
        <f>L22+L23*L24</f>
        <v>0.18544279910028855</v>
      </c>
    </row>
    <row r="28" spans="2:12" x14ac:dyDescent="0.3">
      <c r="B28" s="105" t="s">
        <v>248</v>
      </c>
      <c r="C28" s="105"/>
      <c r="D28" s="61"/>
      <c r="E28" s="61"/>
      <c r="H28" s="105" t="s">
        <v>242</v>
      </c>
      <c r="I28" s="105"/>
      <c r="J28" s="61"/>
      <c r="K28" s="61"/>
      <c r="L28" s="61"/>
    </row>
    <row r="30" spans="2:12" x14ac:dyDescent="0.3">
      <c r="D30" s="105" t="s">
        <v>244</v>
      </c>
      <c r="E30" s="105" t="s">
        <v>245</v>
      </c>
      <c r="H30" t="s">
        <v>249</v>
      </c>
      <c r="L30" s="114">
        <f>L17</f>
        <v>0.9921863822731507</v>
      </c>
    </row>
    <row r="31" spans="2:12" x14ac:dyDescent="0.3">
      <c r="B31" t="s">
        <v>217</v>
      </c>
      <c r="C31" s="97">
        <v>17440</v>
      </c>
      <c r="D31" s="58">
        <f>C31/$C$33</f>
        <v>0.3480690549845325</v>
      </c>
      <c r="E31" s="108">
        <v>0.42499999999999999</v>
      </c>
      <c r="H31" t="s">
        <v>250</v>
      </c>
      <c r="L31" s="5">
        <f>E35</f>
        <v>0.73913043478260876</v>
      </c>
    </row>
    <row r="32" spans="2:12" x14ac:dyDescent="0.3">
      <c r="B32" t="s">
        <v>246</v>
      </c>
      <c r="C32" s="97">
        <v>32665</v>
      </c>
      <c r="D32" s="58">
        <f>C32/$C$33</f>
        <v>0.65193094501546756</v>
      </c>
      <c r="E32" s="5">
        <f>E33-E31</f>
        <v>0.57499999999999996</v>
      </c>
      <c r="H32" t="s">
        <v>237</v>
      </c>
      <c r="L32" s="5">
        <f>E23</f>
        <v>0.3</v>
      </c>
    </row>
    <row r="33" spans="2:12" x14ac:dyDescent="0.3">
      <c r="B33" s="104" t="s">
        <v>247</v>
      </c>
      <c r="C33" s="104">
        <f>C31+C32</f>
        <v>50105</v>
      </c>
      <c r="D33" s="109">
        <f>C33/$C$33</f>
        <v>1</v>
      </c>
      <c r="E33" s="106">
        <v>1</v>
      </c>
      <c r="H33" s="104" t="s">
        <v>242</v>
      </c>
      <c r="I33" s="104"/>
      <c r="J33" s="104"/>
      <c r="K33" s="104"/>
      <c r="L33" s="115">
        <f>L30*(1+(1-L32)*L31)</f>
        <v>1.5055349887536069</v>
      </c>
    </row>
    <row r="35" spans="2:12" x14ac:dyDescent="0.3">
      <c r="B35" t="s">
        <v>251</v>
      </c>
      <c r="D35" s="117">
        <f>D31/D32</f>
        <v>0.53390479106076838</v>
      </c>
      <c r="E35" s="117">
        <f>E31/E32</f>
        <v>0.73913043478260876</v>
      </c>
      <c r="H35" s="105" t="s">
        <v>213</v>
      </c>
      <c r="I35" s="61"/>
      <c r="J35" s="61"/>
      <c r="K35" s="61"/>
      <c r="L35" s="61"/>
    </row>
    <row r="37" spans="2:12" x14ac:dyDescent="0.3">
      <c r="K37" s="105" t="s">
        <v>252</v>
      </c>
      <c r="L37" s="105" t="s">
        <v>253</v>
      </c>
    </row>
    <row r="38" spans="2:12" x14ac:dyDescent="0.3">
      <c r="B38" t="s">
        <v>256</v>
      </c>
      <c r="H38" t="s">
        <v>254</v>
      </c>
      <c r="K38" s="5">
        <f>E24</f>
        <v>5.8799999999999998E-2</v>
      </c>
      <c r="L38" s="5">
        <f>E31</f>
        <v>0.42499999999999999</v>
      </c>
    </row>
    <row r="39" spans="2:12" x14ac:dyDescent="0.3">
      <c r="B39" t="s">
        <v>257</v>
      </c>
      <c r="H39" t="s">
        <v>220</v>
      </c>
      <c r="K39" s="5">
        <f>L25</f>
        <v>0.18544279910028855</v>
      </c>
      <c r="L39" s="5">
        <f>E32</f>
        <v>0.57499999999999996</v>
      </c>
    </row>
    <row r="40" spans="2:12" x14ac:dyDescent="0.3">
      <c r="B40" t="s">
        <v>258</v>
      </c>
      <c r="H40" s="109" t="s">
        <v>255</v>
      </c>
      <c r="I40" s="109"/>
      <c r="J40" s="109"/>
      <c r="K40" s="109"/>
      <c r="L40" s="118">
        <f>SUMPRODUCT(K38:K39,L38:L39)</f>
        <v>0.13161960948266591</v>
      </c>
    </row>
    <row r="41" spans="2:12" x14ac:dyDescent="0.3">
      <c r="B41" t="s">
        <v>259</v>
      </c>
    </row>
    <row r="42" spans="2:12" x14ac:dyDescent="0.3">
      <c r="B42" t="s">
        <v>260</v>
      </c>
    </row>
  </sheetData>
  <mergeCells count="1">
    <mergeCell ref="B2:J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75" zoomScaleNormal="75" zoomScaleSheetLayoutView="100" zoomScalePageLayoutView="120" workbookViewId="0">
      <pane xSplit="1" ySplit="4" topLeftCell="B5" activePane="bottomRight" state="frozen"/>
      <selection activeCell="I2" sqref="I2"/>
      <selection pane="topRight" activeCell="I2" sqref="I2"/>
      <selection pane="bottomLeft" activeCell="I2" sqref="I2"/>
      <selection pane="bottomRight" activeCell="M4" sqref="M4"/>
    </sheetView>
  </sheetViews>
  <sheetFormatPr defaultColWidth="8.77734375" defaultRowHeight="14.4" x14ac:dyDescent="0.3"/>
  <cols>
    <col min="1" max="1" width="20.6640625" customWidth="1"/>
    <col min="2" max="6" width="13.44140625" customWidth="1"/>
    <col min="7" max="7" width="14.77734375" bestFit="1" customWidth="1"/>
    <col min="8" max="11" width="13.44140625" customWidth="1"/>
    <col min="12" max="12" width="13.33203125" customWidth="1"/>
    <col min="13" max="14" width="12.6640625" bestFit="1" customWidth="1"/>
  </cols>
  <sheetData>
    <row r="1" spans="1:14" s="2" customFormat="1" x14ac:dyDescent="0.3">
      <c r="A1" s="2" t="str">
        <f>'Data Sheet'!B1</f>
        <v>RELIANCE INDUSTRIES LTD</v>
      </c>
      <c r="H1" t="str">
        <f>UPDATE</f>
        <v/>
      </c>
      <c r="J1" s="3"/>
      <c r="K1" s="3"/>
      <c r="M1" s="2" t="s">
        <v>1</v>
      </c>
    </row>
    <row r="3" spans="1:14" s="2" customFormat="1" x14ac:dyDescent="0.3">
      <c r="A3" s="11" t="s">
        <v>2</v>
      </c>
      <c r="B3" s="12">
        <f>'Data Sheet'!B16</f>
        <v>42460</v>
      </c>
      <c r="C3" s="12">
        <f>'Data Sheet'!C16</f>
        <v>42825</v>
      </c>
      <c r="D3" s="12">
        <f>'Data Sheet'!D16</f>
        <v>43190</v>
      </c>
      <c r="E3" s="12">
        <f>'Data Sheet'!E16</f>
        <v>43555</v>
      </c>
      <c r="F3" s="12">
        <f>'Data Sheet'!F16</f>
        <v>43921</v>
      </c>
      <c r="G3" s="12">
        <f>'Data Sheet'!G16</f>
        <v>44286</v>
      </c>
      <c r="H3" s="12">
        <f>'Data Sheet'!H16</f>
        <v>44651</v>
      </c>
      <c r="I3" s="12">
        <f>'Data Sheet'!I16</f>
        <v>45016</v>
      </c>
      <c r="J3" s="12">
        <f>'Data Sheet'!J16</f>
        <v>45382</v>
      </c>
      <c r="K3" s="12">
        <f>'Data Sheet'!K16</f>
        <v>45747</v>
      </c>
      <c r="L3" s="13" t="s">
        <v>3</v>
      </c>
      <c r="M3" s="13" t="s">
        <v>4</v>
      </c>
      <c r="N3" s="13" t="s">
        <v>5</v>
      </c>
    </row>
    <row r="4" spans="1:14" s="2" customFormat="1" x14ac:dyDescent="0.3">
      <c r="A4" s="2" t="s">
        <v>6</v>
      </c>
      <c r="B4" s="1">
        <f>'Data Sheet'!B17</f>
        <v>272583</v>
      </c>
      <c r="C4" s="1">
        <f>'Data Sheet'!C17</f>
        <v>303954</v>
      </c>
      <c r="D4" s="1">
        <f>'Data Sheet'!D17</f>
        <v>390823</v>
      </c>
      <c r="E4" s="1">
        <f>'Data Sheet'!E17</f>
        <v>568337</v>
      </c>
      <c r="F4" s="1">
        <f>'Data Sheet'!F17</f>
        <v>596679</v>
      </c>
      <c r="G4" s="1">
        <f>'Data Sheet'!G17</f>
        <v>466307</v>
      </c>
      <c r="H4" s="1">
        <f>'Data Sheet'!H17</f>
        <v>694673</v>
      </c>
      <c r="I4" s="1">
        <f>'Data Sheet'!I17</f>
        <v>876396</v>
      </c>
      <c r="J4" s="1">
        <f>'Data Sheet'!J17</f>
        <v>899041</v>
      </c>
      <c r="K4" s="1">
        <f>'Data Sheet'!K17</f>
        <v>962820</v>
      </c>
      <c r="L4" s="1">
        <f>SUM(Quarters!H4:K4)</f>
        <v>1024548</v>
      </c>
      <c r="M4" s="1">
        <f>$K4+M23*K4</f>
        <v>1073494.9297121183</v>
      </c>
      <c r="N4" s="1">
        <f>$K4+N23*L4</f>
        <v>1035502.6105728215</v>
      </c>
    </row>
    <row r="5" spans="1:14" x14ac:dyDescent="0.3">
      <c r="A5" t="s">
        <v>7</v>
      </c>
      <c r="B5" s="6">
        <f>SUM('Data Sheet'!B18,'Data Sheet'!B20:B24, -1*'Data Sheet'!B19)</f>
        <v>230802</v>
      </c>
      <c r="C5" s="6">
        <f>SUM('Data Sheet'!C18,'Data Sheet'!C20:C24, -1*'Data Sheet'!C19)</f>
        <v>257647</v>
      </c>
      <c r="D5" s="6">
        <f>SUM('Data Sheet'!D18,'Data Sheet'!D20:D24, -1*'Data Sheet'!D19)</f>
        <v>326508</v>
      </c>
      <c r="E5" s="6">
        <f>SUM('Data Sheet'!E18,'Data Sheet'!E20:E24, -1*'Data Sheet'!E19)</f>
        <v>484087</v>
      </c>
      <c r="F5" s="6">
        <f>SUM('Data Sheet'!F18,'Data Sheet'!F20:F24, -1*'Data Sheet'!F19)</f>
        <v>507413</v>
      </c>
      <c r="G5" s="6">
        <f>SUM('Data Sheet'!G18,'Data Sheet'!G20:G24, -1*'Data Sheet'!G19)</f>
        <v>385517</v>
      </c>
      <c r="H5" s="6">
        <f>SUM('Data Sheet'!H18,'Data Sheet'!H20:H24, -1*'Data Sheet'!H19)</f>
        <v>586092</v>
      </c>
      <c r="I5" s="6">
        <f>SUM('Data Sheet'!I18,'Data Sheet'!I20:I24, -1*'Data Sheet'!I19)</f>
        <v>734078</v>
      </c>
      <c r="J5" s="6">
        <f>SUM('Data Sheet'!J18,'Data Sheet'!J20:J24, -1*'Data Sheet'!J19)</f>
        <v>736543</v>
      </c>
      <c r="K5" s="6">
        <f>SUM('Data Sheet'!K18,'Data Sheet'!K20:K24, -1*'Data Sheet'!K19)</f>
        <v>797222</v>
      </c>
      <c r="L5" s="6">
        <f>SUM(Quarters!H5:K5)</f>
        <v>845908</v>
      </c>
      <c r="M5" s="6">
        <f t="shared" ref="M5:N5" si="0">M4-M6</f>
        <v>886320.55209020816</v>
      </c>
      <c r="N5" s="6">
        <f t="shared" si="0"/>
        <v>866277.71745516406</v>
      </c>
    </row>
    <row r="6" spans="1:14" s="2" customFormat="1" x14ac:dyDescent="0.3">
      <c r="A6" s="2" t="s">
        <v>8</v>
      </c>
      <c r="B6" s="1">
        <f>B4-B5</f>
        <v>41781</v>
      </c>
      <c r="C6" s="1">
        <f t="shared" ref="C6:K6" si="1">C4-C5</f>
        <v>46307</v>
      </c>
      <c r="D6" s="1">
        <f t="shared" si="1"/>
        <v>64315</v>
      </c>
      <c r="E6" s="1">
        <f t="shared" si="1"/>
        <v>84250</v>
      </c>
      <c r="F6" s="1">
        <f t="shared" si="1"/>
        <v>89266</v>
      </c>
      <c r="G6" s="1">
        <f t="shared" si="1"/>
        <v>80790</v>
      </c>
      <c r="H6" s="1">
        <f t="shared" si="1"/>
        <v>108581</v>
      </c>
      <c r="I6" s="1">
        <f t="shared" si="1"/>
        <v>142318</v>
      </c>
      <c r="J6" s="1">
        <f t="shared" si="1"/>
        <v>162498</v>
      </c>
      <c r="K6" s="1">
        <f t="shared" si="1"/>
        <v>165598</v>
      </c>
      <c r="L6" s="1">
        <f>SUM(Quarters!H6:K6)</f>
        <v>178640</v>
      </c>
      <c r="M6" s="1">
        <f>M4*M24</f>
        <v>187174.37762191016</v>
      </c>
      <c r="N6" s="1">
        <f>N4*N24</f>
        <v>169224.89311765734</v>
      </c>
    </row>
    <row r="7" spans="1:14" x14ac:dyDescent="0.3">
      <c r="A7" t="s">
        <v>9</v>
      </c>
      <c r="B7" s="6">
        <f>'Data Sheet'!B25</f>
        <v>12212</v>
      </c>
      <c r="C7" s="6">
        <f>'Data Sheet'!C25</f>
        <v>9222</v>
      </c>
      <c r="D7" s="6">
        <f>'Data Sheet'!D25</f>
        <v>9869</v>
      </c>
      <c r="E7" s="6">
        <f>'Data Sheet'!E25</f>
        <v>8406</v>
      </c>
      <c r="F7" s="6">
        <f>'Data Sheet'!F25</f>
        <v>8570</v>
      </c>
      <c r="G7" s="6">
        <f>'Data Sheet'!G25</f>
        <v>22432</v>
      </c>
      <c r="H7" s="6">
        <f>'Data Sheet'!H25</f>
        <v>19600</v>
      </c>
      <c r="I7" s="6">
        <f>'Data Sheet'!I25</f>
        <v>12020</v>
      </c>
      <c r="J7" s="6">
        <f>'Data Sheet'!J25</f>
        <v>15792</v>
      </c>
      <c r="K7" s="6">
        <f>'Data Sheet'!K25</f>
        <v>17824</v>
      </c>
      <c r="L7" s="6">
        <f>SUM(Quarters!H7:K7)</f>
        <v>29420</v>
      </c>
      <c r="M7" s="6">
        <v>0</v>
      </c>
      <c r="N7" s="6">
        <v>0</v>
      </c>
    </row>
    <row r="8" spans="1:14" x14ac:dyDescent="0.3">
      <c r="A8" t="s">
        <v>10</v>
      </c>
      <c r="B8" s="6">
        <f>'Data Sheet'!B26</f>
        <v>11565</v>
      </c>
      <c r="C8" s="6">
        <f>'Data Sheet'!C26</f>
        <v>11646</v>
      </c>
      <c r="D8" s="6">
        <f>'Data Sheet'!D26</f>
        <v>16706</v>
      </c>
      <c r="E8" s="6">
        <f>'Data Sheet'!E26</f>
        <v>20934</v>
      </c>
      <c r="F8" s="6">
        <f>'Data Sheet'!F26</f>
        <v>22203</v>
      </c>
      <c r="G8" s="6">
        <f>'Data Sheet'!G26</f>
        <v>26572</v>
      </c>
      <c r="H8" s="6">
        <f>'Data Sheet'!H26</f>
        <v>29782</v>
      </c>
      <c r="I8" s="6">
        <f>'Data Sheet'!I26</f>
        <v>40303</v>
      </c>
      <c r="J8" s="6">
        <f>'Data Sheet'!J26</f>
        <v>50832</v>
      </c>
      <c r="K8" s="6">
        <f>'Data Sheet'!K26</f>
        <v>53136</v>
      </c>
      <c r="L8" s="6">
        <f>SUM(Quarters!H8:K8)</f>
        <v>56359</v>
      </c>
      <c r="M8" s="6">
        <f>+$L8</f>
        <v>56359</v>
      </c>
      <c r="N8" s="6">
        <f>+$L8</f>
        <v>56359</v>
      </c>
    </row>
    <row r="9" spans="1:14" x14ac:dyDescent="0.3">
      <c r="A9" t="s">
        <v>11</v>
      </c>
      <c r="B9" s="6">
        <f>'Data Sheet'!B27</f>
        <v>3691</v>
      </c>
      <c r="C9" s="6">
        <f>'Data Sheet'!C27</f>
        <v>3849</v>
      </c>
      <c r="D9" s="6">
        <f>'Data Sheet'!D27</f>
        <v>8052</v>
      </c>
      <c r="E9" s="6">
        <f>'Data Sheet'!E27</f>
        <v>16495</v>
      </c>
      <c r="F9" s="6">
        <f>'Data Sheet'!F27</f>
        <v>22027</v>
      </c>
      <c r="G9" s="6">
        <f>'Data Sheet'!G27</f>
        <v>21189</v>
      </c>
      <c r="H9" s="6">
        <f>'Data Sheet'!H27</f>
        <v>14584</v>
      </c>
      <c r="I9" s="6">
        <f>'Data Sheet'!I27</f>
        <v>19571</v>
      </c>
      <c r="J9" s="6">
        <f>'Data Sheet'!J27</f>
        <v>23118</v>
      </c>
      <c r="K9" s="6">
        <f>'Data Sheet'!K27</f>
        <v>24269</v>
      </c>
      <c r="L9" s="6">
        <f>SUM(Quarters!H9:K9)</f>
        <v>26631</v>
      </c>
      <c r="M9" s="6">
        <f>+$L9</f>
        <v>26631</v>
      </c>
      <c r="N9" s="6">
        <f>+$L9</f>
        <v>26631</v>
      </c>
    </row>
    <row r="10" spans="1:14" x14ac:dyDescent="0.3">
      <c r="A10" t="s">
        <v>12</v>
      </c>
      <c r="B10" s="6">
        <f>'Data Sheet'!B28</f>
        <v>38737</v>
      </c>
      <c r="C10" s="6">
        <f>'Data Sheet'!C28</f>
        <v>40034</v>
      </c>
      <c r="D10" s="6">
        <f>'Data Sheet'!D28</f>
        <v>49426</v>
      </c>
      <c r="E10" s="6">
        <f>'Data Sheet'!E28</f>
        <v>55227</v>
      </c>
      <c r="F10" s="6">
        <f>'Data Sheet'!F28</f>
        <v>53606</v>
      </c>
      <c r="G10" s="6">
        <f>'Data Sheet'!G28</f>
        <v>55461</v>
      </c>
      <c r="H10" s="6">
        <f>'Data Sheet'!H28</f>
        <v>83815</v>
      </c>
      <c r="I10" s="6">
        <f>'Data Sheet'!I28</f>
        <v>94464</v>
      </c>
      <c r="J10" s="6">
        <f>'Data Sheet'!J28</f>
        <v>104340</v>
      </c>
      <c r="K10" s="6">
        <f>'Data Sheet'!K28</f>
        <v>106017</v>
      </c>
      <c r="L10" s="6">
        <f>SUM(Quarters!H10:K10)</f>
        <v>125070</v>
      </c>
      <c r="M10" s="6">
        <f>M6+M7-SUM(M8:M9)</f>
        <v>104184.37762191016</v>
      </c>
      <c r="N10" s="6">
        <f>N6+N7-SUM(N8:N9)</f>
        <v>86234.893117657339</v>
      </c>
    </row>
    <row r="11" spans="1:14" x14ac:dyDescent="0.3">
      <c r="A11" t="s">
        <v>13</v>
      </c>
      <c r="B11" s="6">
        <f>'Data Sheet'!B29</f>
        <v>8876</v>
      </c>
      <c r="C11" s="6">
        <f>'Data Sheet'!C29</f>
        <v>10201</v>
      </c>
      <c r="D11" s="6">
        <f>'Data Sheet'!D29</f>
        <v>13346</v>
      </c>
      <c r="E11" s="6">
        <f>'Data Sheet'!E29</f>
        <v>15390</v>
      </c>
      <c r="F11" s="6">
        <f>'Data Sheet'!F29</f>
        <v>13726</v>
      </c>
      <c r="G11" s="6">
        <f>'Data Sheet'!G29</f>
        <v>1722</v>
      </c>
      <c r="H11" s="6">
        <f>'Data Sheet'!H29</f>
        <v>15970</v>
      </c>
      <c r="I11" s="6">
        <f>'Data Sheet'!I29</f>
        <v>20376</v>
      </c>
      <c r="J11" s="6">
        <f>'Data Sheet'!J29</f>
        <v>25707</v>
      </c>
      <c r="K11" s="6">
        <f>'Data Sheet'!K29</f>
        <v>25230</v>
      </c>
      <c r="L11" s="6">
        <f>SUM(Quarters!H11:K11)</f>
        <v>27642</v>
      </c>
      <c r="M11" s="7">
        <f>IF($L10&gt;0,$L11/$L10,0)</f>
        <v>0.22101223314943633</v>
      </c>
      <c r="N11" s="7">
        <f>IF($L10&gt;0,$L11/$L10,0)</f>
        <v>0.22101223314943633</v>
      </c>
    </row>
    <row r="12" spans="1:14" s="2" customFormat="1" x14ac:dyDescent="0.3">
      <c r="A12" s="2" t="s">
        <v>14</v>
      </c>
      <c r="B12" s="1">
        <f>'Data Sheet'!B30</f>
        <v>29745</v>
      </c>
      <c r="C12" s="1">
        <f>'Data Sheet'!C30</f>
        <v>29901</v>
      </c>
      <c r="D12" s="1">
        <f>'Data Sheet'!D30</f>
        <v>36075</v>
      </c>
      <c r="E12" s="1">
        <f>'Data Sheet'!E30</f>
        <v>39588</v>
      </c>
      <c r="F12" s="1">
        <f>'Data Sheet'!F30</f>
        <v>39354</v>
      </c>
      <c r="G12" s="1">
        <f>'Data Sheet'!G30</f>
        <v>49128</v>
      </c>
      <c r="H12" s="1">
        <f>'Data Sheet'!H30</f>
        <v>60705</v>
      </c>
      <c r="I12" s="1">
        <f>'Data Sheet'!I30</f>
        <v>66702</v>
      </c>
      <c r="J12" s="1">
        <f>'Data Sheet'!J30</f>
        <v>69621</v>
      </c>
      <c r="K12" s="1">
        <f>'Data Sheet'!K30</f>
        <v>69648</v>
      </c>
      <c r="L12" s="1">
        <f>SUM(Quarters!H12:K12)</f>
        <v>83211</v>
      </c>
      <c r="M12" s="1">
        <f>M10-M11*M10</f>
        <v>81158.355664407631</v>
      </c>
      <c r="N12" s="1">
        <f>N10-N11*N10</f>
        <v>67175.926814320934</v>
      </c>
    </row>
    <row r="13" spans="1:14" x14ac:dyDescent="0.3">
      <c r="A13" t="s">
        <v>57</v>
      </c>
      <c r="B13" s="6">
        <f>IF('Data Sheet'!B93&gt;0,B12/'Data Sheet'!B93,0)</f>
        <v>21.514125764874365</v>
      </c>
      <c r="C13" s="6">
        <f>IF('Data Sheet'!C93&gt;0,C12/'Data Sheet'!C93,0)</f>
        <v>21.554620031429767</v>
      </c>
      <c r="D13" s="6">
        <f>IF('Data Sheet'!D93&gt;0,D12/'Data Sheet'!D93,0)</f>
        <v>26.694736530535224</v>
      </c>
      <c r="E13" s="6">
        <f>IF('Data Sheet'!E93&gt;0,E12/'Data Sheet'!E93,0)</f>
        <v>29.275435197373287</v>
      </c>
      <c r="F13" s="6">
        <f>IF('Data Sheet'!F93&gt;0,F12/'Data Sheet'!F93,0)</f>
        <v>29.100024401606071</v>
      </c>
      <c r="G13" s="6">
        <f>IF('Data Sheet'!G93&gt;0,G12/'Data Sheet'!G93,0)</f>
        <v>38.747840901024531</v>
      </c>
      <c r="H13" s="6">
        <f>IF('Data Sheet'!H93&gt;0,H12/'Data Sheet'!H93,0)</f>
        <v>44.867625537701961</v>
      </c>
      <c r="I13" s="6">
        <f>IF('Data Sheet'!I93&gt;0,I12/'Data Sheet'!I93,0)</f>
        <v>49.294962752749207</v>
      </c>
      <c r="J13" s="6">
        <f>IF('Data Sheet'!J93&gt;0,J12/'Data Sheet'!J93,0)</f>
        <v>51.45143887550438</v>
      </c>
      <c r="K13" s="6">
        <f>IF('Data Sheet'!K93&gt;0,K12/'Data Sheet'!K93,0)</f>
        <v>51.467588897756492</v>
      </c>
      <c r="L13" s="6">
        <f>IF('Data Sheet'!$B6&gt;0,'Profit &amp; Loss'!L12/'Data Sheet'!$B6,0)</f>
        <v>61.489587787788253</v>
      </c>
      <c r="M13" s="6">
        <f>IF('Data Sheet'!$B6&gt;0,'Profit &amp; Loss'!M12/'Data Sheet'!$B6,0)</f>
        <v>59.972766044623128</v>
      </c>
      <c r="N13" s="6">
        <f>IF('Data Sheet'!$B6&gt;0,'Profit &amp; Loss'!N12/'Data Sheet'!$B6,0)</f>
        <v>49.640312567752169</v>
      </c>
    </row>
    <row r="14" spans="1:14" x14ac:dyDescent="0.3">
      <c r="A14" t="s">
        <v>16</v>
      </c>
      <c r="B14" s="6">
        <f>IF(B15&gt;0,B15/B13,"")</f>
        <v>11.037399455370652</v>
      </c>
      <c r="C14" s="6">
        <f t="shared" ref="C14:K14" si="2">IF(C15&gt;0,C15/C13,"")</f>
        <v>13.92230526738236</v>
      </c>
      <c r="D14" s="6">
        <f t="shared" si="2"/>
        <v>15.02468471794872</v>
      </c>
      <c r="E14" s="6">
        <f t="shared" si="2"/>
        <v>21.158694851975344</v>
      </c>
      <c r="F14" s="6">
        <f t="shared" si="2"/>
        <v>17.390363424302485</v>
      </c>
      <c r="G14" s="6">
        <f t="shared" si="2"/>
        <v>23.71177280166097</v>
      </c>
      <c r="H14" s="6">
        <f t="shared" si="2"/>
        <v>26.935011280784121</v>
      </c>
      <c r="I14" s="6">
        <f t="shared" si="2"/>
        <v>21.690045803724026</v>
      </c>
      <c r="J14" s="6">
        <f t="shared" si="2"/>
        <v>28.87868701972106</v>
      </c>
      <c r="K14" s="6">
        <f t="shared" si="2"/>
        <v>24.774815127498275</v>
      </c>
      <c r="L14" s="6">
        <f t="shared" ref="L14" si="3">IF(L13&gt;0,L15/L13,0)</f>
        <v>22.198880316304333</v>
      </c>
      <c r="M14" s="6">
        <f>M25</f>
        <v>24.385607066811922</v>
      </c>
      <c r="N14" s="6">
        <f>N25</f>
        <v>20.611150915152031</v>
      </c>
    </row>
    <row r="15" spans="1:14" s="2" customFormat="1" x14ac:dyDescent="0.3">
      <c r="A15" s="2" t="s">
        <v>58</v>
      </c>
      <c r="B15" s="1">
        <f>'Data Sheet'!B90</f>
        <v>237.46</v>
      </c>
      <c r="C15" s="1">
        <f>'Data Sheet'!C90</f>
        <v>300.08999999999997</v>
      </c>
      <c r="D15" s="1">
        <f>'Data Sheet'!D90</f>
        <v>401.08</v>
      </c>
      <c r="E15" s="1">
        <f>'Data Sheet'!E90</f>
        <v>619.42999999999995</v>
      </c>
      <c r="F15" s="1">
        <f>'Data Sheet'!F90</f>
        <v>506.06</v>
      </c>
      <c r="G15" s="1">
        <f>'Data Sheet'!G90</f>
        <v>918.78</v>
      </c>
      <c r="H15" s="1">
        <f>'Data Sheet'!H90</f>
        <v>1208.51</v>
      </c>
      <c r="I15" s="1">
        <f>'Data Sheet'!I90</f>
        <v>1069.21</v>
      </c>
      <c r="J15" s="1">
        <f>'Data Sheet'!J90</f>
        <v>1485.85</v>
      </c>
      <c r="K15" s="1">
        <f>'Data Sheet'!K90</f>
        <v>1275.0999999999999</v>
      </c>
      <c r="L15" s="1">
        <f>'Data Sheet'!B8</f>
        <v>1365</v>
      </c>
      <c r="M15" s="8">
        <f>M13*M14</f>
        <v>1462.4723074740198</v>
      </c>
      <c r="N15" s="9">
        <f>N13*N14</f>
        <v>1023.143973809258</v>
      </c>
    </row>
    <row r="17" spans="1:14" s="2" customFormat="1" x14ac:dyDescent="0.3">
      <c r="A17" s="2" t="s">
        <v>15</v>
      </c>
    </row>
    <row r="18" spans="1:14" x14ac:dyDescent="0.3">
      <c r="A18" t="s">
        <v>17</v>
      </c>
      <c r="B18" s="5">
        <f>IF('Data Sheet'!B30&gt;0, 'Data Sheet'!B31/'Data Sheet'!B30, 0)</f>
        <v>0.10406454866364095</v>
      </c>
      <c r="C18" s="5">
        <f>IF('Data Sheet'!C30&gt;0, 'Data Sheet'!C31/'Data Sheet'!C30, 0)</f>
        <v>0.10885589110732083</v>
      </c>
      <c r="D18" s="5">
        <f>IF('Data Sheet'!D30&gt;0, 'Data Sheet'!D31/'Data Sheet'!D30, 0)</f>
        <v>9.8494802494802483E-2</v>
      </c>
      <c r="E18" s="5">
        <f>IF('Data Sheet'!E30&gt;0, 'Data Sheet'!E31/'Data Sheet'!E30, 0)</f>
        <v>9.7299686773769836E-2</v>
      </c>
      <c r="F18" s="5">
        <f>IF('Data Sheet'!F30&gt;0, 'Data Sheet'!F31/'Data Sheet'!F30, 0)</f>
        <v>0.10469964933678916</v>
      </c>
      <c r="G18" s="5">
        <f>IF('Data Sheet'!G30&gt;0, 'Data Sheet'!G31/'Data Sheet'!G30, 0)</f>
        <v>9.1831542094121477E-2</v>
      </c>
      <c r="H18" s="5">
        <f>IF('Data Sheet'!H30&gt;0, 'Data Sheet'!H31/'Data Sheet'!H30, 0)</f>
        <v>8.9152458611317029E-2</v>
      </c>
      <c r="I18" s="5">
        <f>IF('Data Sheet'!I30&gt;0, 'Data Sheet'!I31/'Data Sheet'!I30, 0)</f>
        <v>9.129261491409553E-2</v>
      </c>
      <c r="J18" s="5">
        <f>IF('Data Sheet'!J30&gt;0, 'Data Sheet'!J31/'Data Sheet'!J30, 0)</f>
        <v>9.718332112437339E-2</v>
      </c>
      <c r="K18" s="5">
        <f>IF('Data Sheet'!K30&gt;0, 'Data Sheet'!K31/'Data Sheet'!K30, 0)</f>
        <v>0.1068602113484953</v>
      </c>
    </row>
    <row r="19" spans="1:14" x14ac:dyDescent="0.3">
      <c r="A19" t="s">
        <v>18</v>
      </c>
      <c r="B19" s="5">
        <f t="shared" ref="B19:L19" si="4">IF(B6&gt;0,B6/B4,0)</f>
        <v>0.15327808410649232</v>
      </c>
      <c r="C19" s="5">
        <f t="shared" ref="C19:K19" si="5">IF(C6&gt;0,C6/C4,0)</f>
        <v>0.15234871066016567</v>
      </c>
      <c r="D19" s="5">
        <f t="shared" si="5"/>
        <v>0.16456298631349742</v>
      </c>
      <c r="E19" s="5">
        <f t="shared" si="5"/>
        <v>0.14823951282425743</v>
      </c>
      <c r="F19" s="5">
        <f t="shared" si="5"/>
        <v>0.1496047288408005</v>
      </c>
      <c r="G19" s="5">
        <f t="shared" si="5"/>
        <v>0.17325495864312568</v>
      </c>
      <c r="H19" s="5">
        <f t="shared" si="5"/>
        <v>0.15630519683361813</v>
      </c>
      <c r="I19" s="5">
        <f t="shared" si="5"/>
        <v>0.16239006111392568</v>
      </c>
      <c r="J19" s="5">
        <f t="shared" si="5"/>
        <v>0.18074592816122959</v>
      </c>
      <c r="K19" s="5">
        <f t="shared" si="5"/>
        <v>0.17199268814524002</v>
      </c>
      <c r="L19" s="5">
        <f t="shared" si="4"/>
        <v>0.17435981525511737</v>
      </c>
    </row>
    <row r="20" spans="1:14" x14ac:dyDescent="0.3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 x14ac:dyDescent="0.3">
      <c r="A23"/>
      <c r="B23"/>
      <c r="C23"/>
      <c r="D23"/>
      <c r="E23"/>
      <c r="F23"/>
      <c r="G23" t="s">
        <v>22</v>
      </c>
      <c r="H23" s="5">
        <f>IF(B4=0,"",POWER($K4/B4,1/9)-1)</f>
        <v>0.15051964164654885</v>
      </c>
      <c r="I23" s="5">
        <f>IF(D4=0,"",POWER($K4/D4,1/7)-1)</f>
        <v>0.13746451111719526</v>
      </c>
      <c r="J23" s="5">
        <f>IF(F4=0,"",POWER($K4/F4,1/5)-1)</f>
        <v>0.10042606829042566</v>
      </c>
      <c r="K23" s="5">
        <f>IF(H4=0,"",POWER($K4/H4, 1/3)-1)</f>
        <v>0.11494872324226568</v>
      </c>
      <c r="L23" s="5">
        <f>IF(ISERROR(MAX(IF(J4=0,"",(K4-J4)/J4),IF(K4=0,"",(L4-K4)/K4))),"",MAX(IF(J4=0,"",(K4-J4)/J4),IF(K4=0,"",(L4-K4)/K4)))</f>
        <v>7.0941147289167006E-2</v>
      </c>
      <c r="M23" s="16">
        <f>MAX(K23:L23)</f>
        <v>0.11494872324226568</v>
      </c>
      <c r="N23" s="16">
        <f>MIN(H23:L23)</f>
        <v>7.0941147289167006E-2</v>
      </c>
    </row>
    <row r="24" spans="1:14" x14ac:dyDescent="0.3">
      <c r="G24" t="s">
        <v>18</v>
      </c>
      <c r="H24" s="5">
        <f>IF(SUM(B4:$K$4)=0,"",SUMPRODUCT(B19:$K$19,B4:$K$4)/SUM(B4:$K$4))</f>
        <v>0.16342295170462695</v>
      </c>
      <c r="I24" s="5">
        <f>IF(SUM(E4:$K$4)=0,"",SUMPRODUCT(E19:$K$19,E4:$K$4)/SUM(E4:$K$4))</f>
        <v>0.16454568916679321</v>
      </c>
      <c r="J24" s="5">
        <f>IF(SUM(G4:$K$4)=0,"",SUMPRODUCT(G19:$K$19,G4:$K$4)/SUM(G4:$K$4))</f>
        <v>0.169208745198099</v>
      </c>
      <c r="K24" s="5">
        <f>IF(SUM(I4:$K$4)=0, "", SUMPRODUCT(I19:$K$19,I4:$K$4)/SUM(I4:$K$4))</f>
        <v>0.1717932246681009</v>
      </c>
      <c r="L24" s="5">
        <f>L19</f>
        <v>0.17435981525511737</v>
      </c>
      <c r="M24" s="16">
        <f>MAX(K24:L24)</f>
        <v>0.17435981525511737</v>
      </c>
      <c r="N24" s="16">
        <f>MIN(H24:L24)</f>
        <v>0.16342295170462695</v>
      </c>
    </row>
    <row r="25" spans="1:14" x14ac:dyDescent="0.3">
      <c r="G25" t="s">
        <v>23</v>
      </c>
      <c r="H25" s="6">
        <f>IF(ISERROR(AVERAGEIF(B14:$L14,"&gt;0")),"",AVERAGEIF(B14:$L14,"&gt;0"))</f>
        <v>20.611150915152031</v>
      </c>
      <c r="I25" s="6">
        <f>IF(ISERROR(AVERAGEIF(E14:$L14,"&gt;0")),"",AVERAGEIF(E14:$L14,"&gt;0"))</f>
        <v>23.342283828246327</v>
      </c>
      <c r="J25" s="6">
        <f>IF(ISERROR(AVERAGEIF(G14:$L14,"&gt;0")),"",AVERAGEIF(G14:$L14,"&gt;0"))</f>
        <v>24.698202058282131</v>
      </c>
      <c r="K25" s="6">
        <f>IF(ISERROR(AVERAGEIF(I14:$L14,"&gt;0")),"",AVERAGEIF(I14:$L14,"&gt;0"))</f>
        <v>24.385607066811922</v>
      </c>
      <c r="L25" s="6">
        <f>L14</f>
        <v>22.198880316304333</v>
      </c>
      <c r="M25" s="1">
        <f>MAX(K25:L25)</f>
        <v>24.385607066811922</v>
      </c>
      <c r="N25" s="1">
        <f>MIN(H25:L25)</f>
        <v>20.611150915152031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91" zoomScaleNormal="91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D11" sqref="D11"/>
    </sheetView>
  </sheetViews>
  <sheetFormatPr defaultColWidth="8.77734375" defaultRowHeight="14.4" x14ac:dyDescent="0.3"/>
  <cols>
    <col min="1" max="1" width="20.6640625" customWidth="1"/>
    <col min="2" max="11" width="13.44140625" bestFit="1" customWidth="1"/>
  </cols>
  <sheetData>
    <row r="1" spans="1:11" s="2" customFormat="1" x14ac:dyDescent="0.3">
      <c r="A1" s="2" t="str">
        <f>'Profit &amp; Loss'!A1</f>
        <v>RELIANCE INDUSTRIES LTD</v>
      </c>
      <c r="E1" t="str">
        <f>UPDATE</f>
        <v/>
      </c>
      <c r="J1" s="2" t="s">
        <v>1</v>
      </c>
    </row>
    <row r="3" spans="1:11" s="2" customFormat="1" x14ac:dyDescent="0.3">
      <c r="A3" s="11" t="s">
        <v>2</v>
      </c>
      <c r="B3" s="12">
        <f>'Data Sheet'!B41</f>
        <v>45199</v>
      </c>
      <c r="C3" s="12">
        <f>'Data Sheet'!C41</f>
        <v>45291</v>
      </c>
      <c r="D3" s="12">
        <f>'Data Sheet'!D41</f>
        <v>45382</v>
      </c>
      <c r="E3" s="12">
        <f>'Data Sheet'!E41</f>
        <v>45473</v>
      </c>
      <c r="F3" s="12">
        <f>'Data Sheet'!F41</f>
        <v>45565</v>
      </c>
      <c r="G3" s="12">
        <f>'Data Sheet'!G41</f>
        <v>45657</v>
      </c>
      <c r="H3" s="12">
        <f>'Data Sheet'!H41</f>
        <v>45747</v>
      </c>
      <c r="I3" s="12">
        <f>'Data Sheet'!I41</f>
        <v>45838</v>
      </c>
      <c r="J3" s="12">
        <f>'Data Sheet'!J41</f>
        <v>45930</v>
      </c>
      <c r="K3" s="12">
        <f>'Data Sheet'!K41</f>
        <v>46022</v>
      </c>
    </row>
    <row r="4" spans="1:11" s="2" customFormat="1" x14ac:dyDescent="0.3">
      <c r="A4" s="2" t="s">
        <v>6</v>
      </c>
      <c r="B4" s="1">
        <f>'Data Sheet'!B42</f>
        <v>231886</v>
      </c>
      <c r="C4" s="1">
        <f>'Data Sheet'!C42</f>
        <v>225086</v>
      </c>
      <c r="D4" s="1">
        <f>'Data Sheet'!D42</f>
        <v>236533</v>
      </c>
      <c r="E4" s="1">
        <f>'Data Sheet'!E42</f>
        <v>231784</v>
      </c>
      <c r="F4" s="1">
        <f>'Data Sheet'!F42</f>
        <v>231535</v>
      </c>
      <c r="G4" s="1">
        <f>'Data Sheet'!G42</f>
        <v>239986</v>
      </c>
      <c r="H4" s="1">
        <f>'Data Sheet'!H42</f>
        <v>261388</v>
      </c>
      <c r="I4" s="1">
        <f>'Data Sheet'!I42</f>
        <v>243632</v>
      </c>
      <c r="J4" s="1">
        <f>'Data Sheet'!J42</f>
        <v>254623</v>
      </c>
      <c r="K4" s="1">
        <f>'Data Sheet'!K42</f>
        <v>264905</v>
      </c>
    </row>
    <row r="5" spans="1:11" x14ac:dyDescent="0.3">
      <c r="A5" t="s">
        <v>7</v>
      </c>
      <c r="B5" s="6">
        <f>'Data Sheet'!B43</f>
        <v>190918</v>
      </c>
      <c r="C5" s="6">
        <f>'Data Sheet'!C43</f>
        <v>184430</v>
      </c>
      <c r="D5" s="6">
        <f>'Data Sheet'!D43</f>
        <v>194017</v>
      </c>
      <c r="E5" s="6">
        <f>'Data Sheet'!E43</f>
        <v>193019</v>
      </c>
      <c r="F5" s="6">
        <f>'Data Sheet'!F43</f>
        <v>192477</v>
      </c>
      <c r="G5" s="6">
        <f>'Data Sheet'!G43</f>
        <v>196197</v>
      </c>
      <c r="H5" s="6">
        <f>'Data Sheet'!H43</f>
        <v>217556</v>
      </c>
      <c r="I5" s="6">
        <f>'Data Sheet'!I43</f>
        <v>200727</v>
      </c>
      <c r="J5" s="6">
        <f>'Data Sheet'!J43</f>
        <v>208738</v>
      </c>
      <c r="K5" s="6">
        <f>'Data Sheet'!K43</f>
        <v>218887</v>
      </c>
    </row>
    <row r="6" spans="1:11" s="2" customFormat="1" x14ac:dyDescent="0.3">
      <c r="A6" s="2" t="s">
        <v>8</v>
      </c>
      <c r="B6" s="1">
        <f>'Data Sheet'!B50</f>
        <v>40968</v>
      </c>
      <c r="C6" s="1">
        <f>'Data Sheet'!C50</f>
        <v>40656</v>
      </c>
      <c r="D6" s="1">
        <f>'Data Sheet'!D50</f>
        <v>42516</v>
      </c>
      <c r="E6" s="1">
        <f>'Data Sheet'!E50</f>
        <v>38765</v>
      </c>
      <c r="F6" s="1">
        <f>'Data Sheet'!F50</f>
        <v>39058</v>
      </c>
      <c r="G6" s="1">
        <f>'Data Sheet'!G50</f>
        <v>43789</v>
      </c>
      <c r="H6" s="1">
        <f>'Data Sheet'!H50</f>
        <v>43832</v>
      </c>
      <c r="I6" s="1">
        <f>'Data Sheet'!I50</f>
        <v>42905</v>
      </c>
      <c r="J6" s="1">
        <f>'Data Sheet'!J50</f>
        <v>45885</v>
      </c>
      <c r="K6" s="1">
        <f>'Data Sheet'!K50</f>
        <v>46018</v>
      </c>
    </row>
    <row r="7" spans="1:11" x14ac:dyDescent="0.3">
      <c r="A7" t="s">
        <v>9</v>
      </c>
      <c r="B7" s="6">
        <f>'Data Sheet'!B44</f>
        <v>3841</v>
      </c>
      <c r="C7" s="6">
        <f>'Data Sheet'!C44</f>
        <v>3869</v>
      </c>
      <c r="D7" s="6">
        <f>'Data Sheet'!D44</f>
        <v>4534</v>
      </c>
      <c r="E7" s="6">
        <f>'Data Sheet'!E44</f>
        <v>3983</v>
      </c>
      <c r="F7" s="6">
        <f>'Data Sheet'!F44</f>
        <v>4876</v>
      </c>
      <c r="G7" s="6">
        <f>'Data Sheet'!G44</f>
        <v>4214</v>
      </c>
      <c r="H7" s="6">
        <f>'Data Sheet'!H44</f>
        <v>4905</v>
      </c>
      <c r="I7" s="6">
        <f>'Data Sheet'!I44</f>
        <v>15119</v>
      </c>
      <c r="J7" s="6">
        <f>'Data Sheet'!J44</f>
        <v>4482</v>
      </c>
      <c r="K7" s="6">
        <f>'Data Sheet'!K44</f>
        <v>4914</v>
      </c>
    </row>
    <row r="8" spans="1:11" x14ac:dyDescent="0.3">
      <c r="A8" t="s">
        <v>10</v>
      </c>
      <c r="B8" s="6">
        <f>'Data Sheet'!B45</f>
        <v>12585</v>
      </c>
      <c r="C8" s="6">
        <f>'Data Sheet'!C45</f>
        <v>12903</v>
      </c>
      <c r="D8" s="6">
        <f>'Data Sheet'!D45</f>
        <v>13569</v>
      </c>
      <c r="E8" s="6">
        <f>'Data Sheet'!E45</f>
        <v>13596</v>
      </c>
      <c r="F8" s="6">
        <f>'Data Sheet'!F45</f>
        <v>12880</v>
      </c>
      <c r="G8" s="6">
        <f>'Data Sheet'!G45</f>
        <v>13181</v>
      </c>
      <c r="H8" s="6">
        <f>'Data Sheet'!H45</f>
        <v>13479</v>
      </c>
      <c r="I8" s="6">
        <f>'Data Sheet'!I45</f>
        <v>13842</v>
      </c>
      <c r="J8" s="6">
        <f>'Data Sheet'!J45</f>
        <v>14416</v>
      </c>
      <c r="K8" s="6">
        <f>'Data Sheet'!K45</f>
        <v>14622</v>
      </c>
    </row>
    <row r="9" spans="1:11" x14ac:dyDescent="0.3">
      <c r="A9" t="s">
        <v>11</v>
      </c>
      <c r="B9" s="6">
        <f>'Data Sheet'!B46</f>
        <v>5731</v>
      </c>
      <c r="C9" s="6">
        <f>'Data Sheet'!C46</f>
        <v>5789</v>
      </c>
      <c r="D9" s="6">
        <f>'Data Sheet'!D46</f>
        <v>5761</v>
      </c>
      <c r="E9" s="6">
        <f>'Data Sheet'!E46</f>
        <v>5918</v>
      </c>
      <c r="F9" s="6">
        <f>'Data Sheet'!F46</f>
        <v>6017</v>
      </c>
      <c r="G9" s="6">
        <f>'Data Sheet'!G46</f>
        <v>6179</v>
      </c>
      <c r="H9" s="6">
        <f>'Data Sheet'!H46</f>
        <v>6155</v>
      </c>
      <c r="I9" s="6">
        <f>'Data Sheet'!I46</f>
        <v>7036</v>
      </c>
      <c r="J9" s="6">
        <f>'Data Sheet'!J46</f>
        <v>6827</v>
      </c>
      <c r="K9" s="6">
        <f>'Data Sheet'!K46</f>
        <v>6613</v>
      </c>
    </row>
    <row r="10" spans="1:11" x14ac:dyDescent="0.3">
      <c r="A10" t="s">
        <v>12</v>
      </c>
      <c r="B10" s="6">
        <f>'Data Sheet'!B47</f>
        <v>26493</v>
      </c>
      <c r="C10" s="6">
        <f>'Data Sheet'!C47</f>
        <v>25833</v>
      </c>
      <c r="D10" s="6">
        <f>'Data Sheet'!D47</f>
        <v>27720</v>
      </c>
      <c r="E10" s="6">
        <f>'Data Sheet'!E47</f>
        <v>23234</v>
      </c>
      <c r="F10" s="6">
        <f>'Data Sheet'!F47</f>
        <v>25037</v>
      </c>
      <c r="G10" s="6">
        <f>'Data Sheet'!G47</f>
        <v>28643</v>
      </c>
      <c r="H10" s="6">
        <f>'Data Sheet'!H47</f>
        <v>29103</v>
      </c>
      <c r="I10" s="6">
        <f>'Data Sheet'!I47</f>
        <v>37146</v>
      </c>
      <c r="J10" s="6">
        <f>'Data Sheet'!J47</f>
        <v>29124</v>
      </c>
      <c r="K10" s="6">
        <f>'Data Sheet'!K47</f>
        <v>29697</v>
      </c>
    </row>
    <row r="11" spans="1:11" x14ac:dyDescent="0.3">
      <c r="A11" t="s">
        <v>13</v>
      </c>
      <c r="B11" s="6">
        <f>'Data Sheet'!B48</f>
        <v>6673</v>
      </c>
      <c r="C11" s="6">
        <f>'Data Sheet'!C48</f>
        <v>6345</v>
      </c>
      <c r="D11" s="6">
        <f>'Data Sheet'!D48</f>
        <v>6577</v>
      </c>
      <c r="E11" s="6">
        <f>'Data Sheet'!E48</f>
        <v>5786</v>
      </c>
      <c r="F11" s="6">
        <f>'Data Sheet'!F48</f>
        <v>5936</v>
      </c>
      <c r="G11" s="6">
        <f>'Data Sheet'!G48</f>
        <v>6839</v>
      </c>
      <c r="H11" s="6">
        <f>'Data Sheet'!H48</f>
        <v>6669</v>
      </c>
      <c r="I11" s="6">
        <f>'Data Sheet'!I48</f>
        <v>6465</v>
      </c>
      <c r="J11" s="6">
        <f>'Data Sheet'!J48</f>
        <v>6978</v>
      </c>
      <c r="K11" s="6">
        <f>'Data Sheet'!K48</f>
        <v>7530</v>
      </c>
    </row>
    <row r="12" spans="1:11" s="2" customFormat="1" x14ac:dyDescent="0.3">
      <c r="A12" s="2" t="s">
        <v>14</v>
      </c>
      <c r="B12" s="1">
        <f>'Data Sheet'!B49</f>
        <v>17394</v>
      </c>
      <c r="C12" s="1">
        <f>'Data Sheet'!C49</f>
        <v>17265</v>
      </c>
      <c r="D12" s="1">
        <f>'Data Sheet'!D49</f>
        <v>18951</v>
      </c>
      <c r="E12" s="1">
        <f>'Data Sheet'!E49</f>
        <v>15138</v>
      </c>
      <c r="F12" s="1">
        <f>'Data Sheet'!F49</f>
        <v>16563</v>
      </c>
      <c r="G12" s="1">
        <f>'Data Sheet'!G49</f>
        <v>18540</v>
      </c>
      <c r="H12" s="1">
        <f>'Data Sheet'!H49</f>
        <v>19407</v>
      </c>
      <c r="I12" s="1">
        <f>'Data Sheet'!I49</f>
        <v>26994</v>
      </c>
      <c r="J12" s="1">
        <f>'Data Sheet'!J49</f>
        <v>18165</v>
      </c>
      <c r="K12" s="1">
        <f>'Data Sheet'!K49</f>
        <v>18645</v>
      </c>
    </row>
    <row r="14" spans="1:11" s="2" customFormat="1" x14ac:dyDescent="0.3">
      <c r="A14" s="2" t="s">
        <v>18</v>
      </c>
      <c r="B14" s="10">
        <f>IF(B4&gt;0,B6/B4,"")</f>
        <v>0.17667302036345445</v>
      </c>
      <c r="C14" s="10">
        <f t="shared" ref="C14:K14" si="0">IF(C4&gt;0,C6/C4,"")</f>
        <v>0.18062429471402042</v>
      </c>
      <c r="D14" s="10">
        <f t="shared" si="0"/>
        <v>0.17974658927084169</v>
      </c>
      <c r="E14" s="10">
        <f t="shared" si="0"/>
        <v>0.16724622924792049</v>
      </c>
      <c r="F14" s="10">
        <f t="shared" si="0"/>
        <v>0.16869155851167211</v>
      </c>
      <c r="G14" s="10">
        <f t="shared" si="0"/>
        <v>0.18246481044727608</v>
      </c>
      <c r="H14" s="10">
        <f t="shared" si="0"/>
        <v>0.16768941190873338</v>
      </c>
      <c r="I14" s="10">
        <f t="shared" si="0"/>
        <v>0.17610576607342221</v>
      </c>
      <c r="J14" s="10">
        <f t="shared" si="0"/>
        <v>0.18020760104153985</v>
      </c>
      <c r="K14" s="10">
        <f t="shared" si="0"/>
        <v>0.17371510541514884</v>
      </c>
    </row>
    <row r="22" s="23" customFormat="1" x14ac:dyDescent="0.3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90" zoomScaleNormal="90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77734375" defaultRowHeight="14.4" x14ac:dyDescent="0.3"/>
  <cols>
    <col min="1" max="1" width="22.77734375" bestFit="1" customWidth="1"/>
    <col min="2" max="2" width="13.44140625" customWidth="1"/>
    <col min="3" max="11" width="15.44140625" customWidth="1"/>
  </cols>
  <sheetData>
    <row r="1" spans="1:11" s="2" customFormat="1" x14ac:dyDescent="0.3">
      <c r="A1" s="2" t="str">
        <f>'Profit &amp; Loss'!A1</f>
        <v>RELIANCE INDUSTRIES LTD</v>
      </c>
      <c r="E1" t="str">
        <f>UPDATE</f>
        <v/>
      </c>
      <c r="G1"/>
      <c r="J1" s="2" t="s">
        <v>1</v>
      </c>
    </row>
    <row r="2" spans="1:11" x14ac:dyDescent="0.3">
      <c r="G2" s="2"/>
      <c r="H2" s="2"/>
    </row>
    <row r="3" spans="1:11" x14ac:dyDescent="0.3">
      <c r="A3" s="11" t="s">
        <v>2</v>
      </c>
      <c r="B3" s="12">
        <f>'Data Sheet'!B56</f>
        <v>42460</v>
      </c>
      <c r="C3" s="12">
        <f>'Data Sheet'!C56</f>
        <v>42825</v>
      </c>
      <c r="D3" s="12">
        <f>'Data Sheet'!D56</f>
        <v>43190</v>
      </c>
      <c r="E3" s="12">
        <f>'Data Sheet'!E56</f>
        <v>43555</v>
      </c>
      <c r="F3" s="12">
        <f>'Data Sheet'!F56</f>
        <v>43921</v>
      </c>
      <c r="G3" s="12">
        <f>'Data Sheet'!G56</f>
        <v>44286</v>
      </c>
      <c r="H3" s="12">
        <f>'Data Sheet'!H56</f>
        <v>44651</v>
      </c>
      <c r="I3" s="12">
        <f>'Data Sheet'!I56</f>
        <v>45016</v>
      </c>
      <c r="J3" s="12">
        <f>'Data Sheet'!J56</f>
        <v>45382</v>
      </c>
      <c r="K3" s="12">
        <f>'Data Sheet'!K56</f>
        <v>45747</v>
      </c>
    </row>
    <row r="4" spans="1:11" x14ac:dyDescent="0.3">
      <c r="A4" t="s">
        <v>24</v>
      </c>
      <c r="B4" s="14">
        <f>'Data Sheet'!B57</f>
        <v>2948</v>
      </c>
      <c r="C4" s="14">
        <f>'Data Sheet'!C57</f>
        <v>2959</v>
      </c>
      <c r="D4" s="14">
        <f>'Data Sheet'!D57</f>
        <v>5922</v>
      </c>
      <c r="E4" s="14">
        <f>'Data Sheet'!E57</f>
        <v>5926</v>
      </c>
      <c r="F4" s="14">
        <f>'Data Sheet'!F57</f>
        <v>6339</v>
      </c>
      <c r="G4" s="14">
        <f>'Data Sheet'!G57</f>
        <v>6445</v>
      </c>
      <c r="H4" s="14">
        <f>'Data Sheet'!H57</f>
        <v>6765</v>
      </c>
      <c r="I4" s="14">
        <f>'Data Sheet'!I57</f>
        <v>6766</v>
      </c>
      <c r="J4" s="14">
        <f>'Data Sheet'!J57</f>
        <v>6766</v>
      </c>
      <c r="K4" s="14">
        <f>'Data Sheet'!K57</f>
        <v>13532</v>
      </c>
    </row>
    <row r="5" spans="1:11" x14ac:dyDescent="0.3">
      <c r="A5" t="s">
        <v>25</v>
      </c>
      <c r="B5" s="14">
        <f>'Data Sheet'!B58</f>
        <v>228608</v>
      </c>
      <c r="C5" s="14">
        <f>'Data Sheet'!C58</f>
        <v>260750</v>
      </c>
      <c r="D5" s="14">
        <f>'Data Sheet'!D58</f>
        <v>287584</v>
      </c>
      <c r="E5" s="14">
        <f>'Data Sheet'!E58</f>
        <v>381186</v>
      </c>
      <c r="F5" s="14">
        <f>'Data Sheet'!F58</f>
        <v>442827</v>
      </c>
      <c r="G5" s="14">
        <f>'Data Sheet'!G58</f>
        <v>693727</v>
      </c>
      <c r="H5" s="14">
        <f>'Data Sheet'!H58</f>
        <v>772720</v>
      </c>
      <c r="I5" s="14">
        <f>'Data Sheet'!I58</f>
        <v>709106</v>
      </c>
      <c r="J5" s="14">
        <f>'Data Sheet'!J58</f>
        <v>786715</v>
      </c>
      <c r="K5" s="14">
        <f>'Data Sheet'!K58</f>
        <v>829668</v>
      </c>
    </row>
    <row r="6" spans="1:11" x14ac:dyDescent="0.3">
      <c r="A6" t="s">
        <v>71</v>
      </c>
      <c r="B6" s="14">
        <f>'Data Sheet'!B59</f>
        <v>194714</v>
      </c>
      <c r="C6" s="14">
        <f>'Data Sheet'!C59</f>
        <v>217475</v>
      </c>
      <c r="D6" s="14">
        <f>'Data Sheet'!D59</f>
        <v>239843</v>
      </c>
      <c r="E6" s="14">
        <f>'Data Sheet'!E59</f>
        <v>307714</v>
      </c>
      <c r="F6" s="14">
        <f>'Data Sheet'!F59</f>
        <v>355133</v>
      </c>
      <c r="G6" s="14">
        <f>'Data Sheet'!G59</f>
        <v>278962</v>
      </c>
      <c r="H6" s="14">
        <f>'Data Sheet'!H59</f>
        <v>319158</v>
      </c>
      <c r="I6" s="14">
        <f>'Data Sheet'!I59</f>
        <v>451664</v>
      </c>
      <c r="J6" s="14">
        <f>'Data Sheet'!J59</f>
        <v>350719</v>
      </c>
      <c r="K6" s="14">
        <f>'Data Sheet'!K59</f>
        <v>374313</v>
      </c>
    </row>
    <row r="7" spans="1:11" x14ac:dyDescent="0.3">
      <c r="A7" t="s">
        <v>72</v>
      </c>
      <c r="B7" s="14">
        <f>'Data Sheet'!B60</f>
        <v>172727</v>
      </c>
      <c r="C7" s="14">
        <f>'Data Sheet'!C60</f>
        <v>225618</v>
      </c>
      <c r="D7" s="14">
        <f>'Data Sheet'!D60</f>
        <v>277924</v>
      </c>
      <c r="E7" s="14">
        <f>'Data Sheet'!E60</f>
        <v>302804</v>
      </c>
      <c r="F7" s="14">
        <f>'Data Sheet'!F60</f>
        <v>358716</v>
      </c>
      <c r="G7" s="14">
        <f>'Data Sheet'!G60</f>
        <v>340931</v>
      </c>
      <c r="H7" s="14">
        <f>'Data Sheet'!H60</f>
        <v>399979</v>
      </c>
      <c r="I7" s="14">
        <f>'Data Sheet'!I60</f>
        <v>438346</v>
      </c>
      <c r="J7" s="14">
        <f>'Data Sheet'!J60</f>
        <v>610848</v>
      </c>
      <c r="K7" s="14">
        <f>'Data Sheet'!K60</f>
        <v>732200</v>
      </c>
    </row>
    <row r="8" spans="1:11" s="2" customFormat="1" x14ac:dyDescent="0.3">
      <c r="A8" s="2" t="s">
        <v>26</v>
      </c>
      <c r="B8" s="15">
        <f>'Data Sheet'!B61</f>
        <v>598997</v>
      </c>
      <c r="C8" s="15">
        <f>'Data Sheet'!C61</f>
        <v>706802</v>
      </c>
      <c r="D8" s="15">
        <f>'Data Sheet'!D61</f>
        <v>811273</v>
      </c>
      <c r="E8" s="15">
        <f>'Data Sheet'!E61</f>
        <v>997630</v>
      </c>
      <c r="F8" s="15">
        <f>'Data Sheet'!F61</f>
        <v>1163015</v>
      </c>
      <c r="G8" s="15">
        <f>'Data Sheet'!G61</f>
        <v>1320065</v>
      </c>
      <c r="H8" s="15">
        <f>'Data Sheet'!H61</f>
        <v>1498622</v>
      </c>
      <c r="I8" s="15">
        <f>'Data Sheet'!I61</f>
        <v>1605882</v>
      </c>
      <c r="J8" s="15">
        <f>'Data Sheet'!J61</f>
        <v>1755048</v>
      </c>
      <c r="K8" s="15">
        <f>'Data Sheet'!K61</f>
        <v>1949713</v>
      </c>
    </row>
    <row r="9" spans="1:11" s="2" customFormat="1" x14ac:dyDescent="0.3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3">
      <c r="A10" t="s">
        <v>27</v>
      </c>
      <c r="B10" s="14">
        <f>'Data Sheet'!B62</f>
        <v>184910</v>
      </c>
      <c r="C10" s="14">
        <f>'Data Sheet'!C62</f>
        <v>198526</v>
      </c>
      <c r="D10" s="14">
        <f>'Data Sheet'!D62</f>
        <v>403885</v>
      </c>
      <c r="E10" s="14">
        <f>'Data Sheet'!E62</f>
        <v>398374</v>
      </c>
      <c r="F10" s="14">
        <f>'Data Sheet'!F62</f>
        <v>532658</v>
      </c>
      <c r="G10" s="14">
        <f>'Data Sheet'!G62</f>
        <v>541258</v>
      </c>
      <c r="H10" s="14">
        <f>'Data Sheet'!H62</f>
        <v>627798</v>
      </c>
      <c r="I10" s="14">
        <f>'Data Sheet'!I62</f>
        <v>724805</v>
      </c>
      <c r="J10" s="14">
        <f>'Data Sheet'!J62</f>
        <v>779985</v>
      </c>
      <c r="K10" s="14">
        <f>'Data Sheet'!K62</f>
        <v>999393</v>
      </c>
    </row>
    <row r="11" spans="1:11" x14ac:dyDescent="0.3">
      <c r="A11" t="s">
        <v>28</v>
      </c>
      <c r="B11" s="14">
        <f>'Data Sheet'!B63</f>
        <v>228697</v>
      </c>
      <c r="C11" s="14">
        <f>'Data Sheet'!C63</f>
        <v>324837</v>
      </c>
      <c r="D11" s="14">
        <f>'Data Sheet'!D63</f>
        <v>187022</v>
      </c>
      <c r="E11" s="14">
        <f>'Data Sheet'!E63</f>
        <v>179463</v>
      </c>
      <c r="F11" s="14">
        <f>'Data Sheet'!F63</f>
        <v>109106</v>
      </c>
      <c r="G11" s="14">
        <f>'Data Sheet'!G63</f>
        <v>125953</v>
      </c>
      <c r="H11" s="14">
        <f>'Data Sheet'!H63</f>
        <v>172506</v>
      </c>
      <c r="I11" s="14">
        <f>'Data Sheet'!I63</f>
        <v>293752</v>
      </c>
      <c r="J11" s="14">
        <f>'Data Sheet'!J63</f>
        <v>338855</v>
      </c>
      <c r="K11" s="14">
        <f>'Data Sheet'!K63</f>
        <v>262358</v>
      </c>
    </row>
    <row r="12" spans="1:11" x14ac:dyDescent="0.3">
      <c r="A12" t="s">
        <v>29</v>
      </c>
      <c r="B12" s="14">
        <f>'Data Sheet'!B64</f>
        <v>84015</v>
      </c>
      <c r="C12" s="14">
        <f>'Data Sheet'!C64</f>
        <v>82899</v>
      </c>
      <c r="D12" s="14">
        <f>'Data Sheet'!D64</f>
        <v>82862</v>
      </c>
      <c r="E12" s="14">
        <f>'Data Sheet'!E64</f>
        <v>235635</v>
      </c>
      <c r="F12" s="14">
        <f>'Data Sheet'!F64</f>
        <v>276767</v>
      </c>
      <c r="G12" s="14">
        <f>'Data Sheet'!G64</f>
        <v>364828</v>
      </c>
      <c r="H12" s="14">
        <f>'Data Sheet'!H64</f>
        <v>394264</v>
      </c>
      <c r="I12" s="14">
        <f>'Data Sheet'!I64</f>
        <v>235560</v>
      </c>
      <c r="J12" s="14">
        <f>'Data Sheet'!J64</f>
        <v>225672</v>
      </c>
      <c r="K12" s="14">
        <f>'Data Sheet'!K64</f>
        <v>242381</v>
      </c>
    </row>
    <row r="13" spans="1:11" x14ac:dyDescent="0.3">
      <c r="A13" t="s">
        <v>73</v>
      </c>
      <c r="B13" s="14">
        <f>'Data Sheet'!B65</f>
        <v>101375</v>
      </c>
      <c r="C13" s="14">
        <f>'Data Sheet'!C65</f>
        <v>100540</v>
      </c>
      <c r="D13" s="14">
        <f>'Data Sheet'!D65</f>
        <v>137504</v>
      </c>
      <c r="E13" s="14">
        <f>'Data Sheet'!E65</f>
        <v>184158</v>
      </c>
      <c r="F13" s="14">
        <f>'Data Sheet'!F65</f>
        <v>244484</v>
      </c>
      <c r="G13" s="14">
        <f>'Data Sheet'!G65</f>
        <v>288026</v>
      </c>
      <c r="H13" s="14">
        <f>'Data Sheet'!H65</f>
        <v>304054</v>
      </c>
      <c r="I13" s="14">
        <f>'Data Sheet'!I65</f>
        <v>351765</v>
      </c>
      <c r="J13" s="14">
        <f>'Data Sheet'!J65</f>
        <v>410536</v>
      </c>
      <c r="K13" s="14">
        <f>'Data Sheet'!K65</f>
        <v>445581</v>
      </c>
    </row>
    <row r="14" spans="1:11" s="2" customFormat="1" x14ac:dyDescent="0.3">
      <c r="A14" s="2" t="s">
        <v>26</v>
      </c>
      <c r="B14" s="14">
        <f>'Data Sheet'!B66</f>
        <v>598997</v>
      </c>
      <c r="C14" s="14">
        <f>'Data Sheet'!C66</f>
        <v>706802</v>
      </c>
      <c r="D14" s="14">
        <f>'Data Sheet'!D66</f>
        <v>811273</v>
      </c>
      <c r="E14" s="14">
        <f>'Data Sheet'!E66</f>
        <v>997630</v>
      </c>
      <c r="F14" s="14">
        <f>'Data Sheet'!F66</f>
        <v>1163015</v>
      </c>
      <c r="G14" s="14">
        <f>'Data Sheet'!G66</f>
        <v>1320065</v>
      </c>
      <c r="H14" s="14">
        <f>'Data Sheet'!H66</f>
        <v>1498622</v>
      </c>
      <c r="I14" s="14">
        <f>'Data Sheet'!I66</f>
        <v>1605882</v>
      </c>
      <c r="J14" s="14">
        <f>'Data Sheet'!J66</f>
        <v>1755048</v>
      </c>
      <c r="K14" s="14">
        <f>'Data Sheet'!K66</f>
        <v>1949713</v>
      </c>
    </row>
    <row r="15" spans="1:11" x14ac:dyDescent="0.3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">
      <c r="A16" t="s">
        <v>30</v>
      </c>
      <c r="B16" s="4">
        <f>B13-B7</f>
        <v>-71352</v>
      </c>
      <c r="C16" s="4">
        <f t="shared" ref="C16:K16" si="0">C13-C7</f>
        <v>-125078</v>
      </c>
      <c r="D16" s="4">
        <f t="shared" si="0"/>
        <v>-140420</v>
      </c>
      <c r="E16" s="4">
        <f t="shared" si="0"/>
        <v>-118646</v>
      </c>
      <c r="F16" s="4">
        <f t="shared" si="0"/>
        <v>-114232</v>
      </c>
      <c r="G16" s="4">
        <f t="shared" si="0"/>
        <v>-52905</v>
      </c>
      <c r="H16" s="4">
        <f t="shared" si="0"/>
        <v>-95925</v>
      </c>
      <c r="I16" s="4">
        <f t="shared" si="0"/>
        <v>-86581</v>
      </c>
      <c r="J16" s="4">
        <f t="shared" si="0"/>
        <v>-200312</v>
      </c>
      <c r="K16" s="4">
        <f t="shared" si="0"/>
        <v>-286619</v>
      </c>
    </row>
    <row r="17" spans="1:11" x14ac:dyDescent="0.3">
      <c r="A17" t="s">
        <v>44</v>
      </c>
      <c r="B17" s="4">
        <f>'Data Sheet'!B67</f>
        <v>4465</v>
      </c>
      <c r="C17" s="4">
        <f>'Data Sheet'!C67</f>
        <v>8177</v>
      </c>
      <c r="D17" s="4">
        <f>'Data Sheet'!D67</f>
        <v>17555</v>
      </c>
      <c r="E17" s="4">
        <f>'Data Sheet'!E67</f>
        <v>30089</v>
      </c>
      <c r="F17" s="4">
        <f>'Data Sheet'!F67</f>
        <v>19656</v>
      </c>
      <c r="G17" s="4">
        <f>'Data Sheet'!G67</f>
        <v>19014</v>
      </c>
      <c r="H17" s="4">
        <f>'Data Sheet'!H67</f>
        <v>23640</v>
      </c>
      <c r="I17" s="4">
        <f>'Data Sheet'!I67</f>
        <v>28448</v>
      </c>
      <c r="J17" s="4">
        <f>'Data Sheet'!J67</f>
        <v>31628</v>
      </c>
      <c r="K17" s="4">
        <f>'Data Sheet'!K67</f>
        <v>42121</v>
      </c>
    </row>
    <row r="18" spans="1:11" x14ac:dyDescent="0.3">
      <c r="A18" t="s">
        <v>45</v>
      </c>
      <c r="B18" s="4">
        <f>'Data Sheet'!B68</f>
        <v>46486</v>
      </c>
      <c r="C18" s="4">
        <f>'Data Sheet'!C68</f>
        <v>48951</v>
      </c>
      <c r="D18" s="4">
        <f>'Data Sheet'!D68</f>
        <v>60837</v>
      </c>
      <c r="E18" s="4">
        <f>'Data Sheet'!E68</f>
        <v>67561</v>
      </c>
      <c r="F18" s="4">
        <f>'Data Sheet'!F68</f>
        <v>73903</v>
      </c>
      <c r="G18" s="4">
        <f>'Data Sheet'!G68</f>
        <v>81672</v>
      </c>
      <c r="H18" s="4">
        <f>'Data Sheet'!H68</f>
        <v>107778</v>
      </c>
      <c r="I18" s="4">
        <f>'Data Sheet'!I68</f>
        <v>140008</v>
      </c>
      <c r="J18" s="4">
        <f>'Data Sheet'!J68</f>
        <v>152770</v>
      </c>
      <c r="K18" s="4">
        <f>'Data Sheet'!K68</f>
        <v>146062</v>
      </c>
    </row>
    <row r="20" spans="1:11" x14ac:dyDescent="0.3">
      <c r="A20" t="s">
        <v>46</v>
      </c>
      <c r="B20" s="4">
        <f>IF('Profit &amp; Loss'!B4&gt;0,'Balance Sheet'!B17/('Profit &amp; Loss'!B4/365),0)</f>
        <v>5.9788211297109504</v>
      </c>
      <c r="C20" s="4">
        <f>IF('Profit &amp; Loss'!C4&gt;0,'Balance Sheet'!C17/('Profit &amp; Loss'!C4/365),0)</f>
        <v>9.8192654151615049</v>
      </c>
      <c r="D20" s="4">
        <f>IF('Profit &amp; Loss'!D4&gt;0,'Balance Sheet'!D17/('Profit &amp; Loss'!D4/365),0)</f>
        <v>16.395081661007669</v>
      </c>
      <c r="E20" s="4">
        <f>IF('Profit &amp; Loss'!E4&gt;0,'Balance Sheet'!E17/('Profit &amp; Loss'!E4/365),0)</f>
        <v>19.323895857563382</v>
      </c>
      <c r="F20" s="4">
        <f>IF('Profit &amp; Loss'!F4&gt;0,'Balance Sheet'!F17/('Profit &amp; Loss'!F4/365),0)</f>
        <v>12.023952577516555</v>
      </c>
      <c r="G20" s="4">
        <f>IF('Profit &amp; Loss'!G4&gt;0,'Balance Sheet'!G17/('Profit &amp; Loss'!G4/365),0)</f>
        <v>14.883134930421376</v>
      </c>
      <c r="H20" s="4">
        <f>IF('Profit &amp; Loss'!H4&gt;0,'Balance Sheet'!H17/('Profit &amp; Loss'!H4/365),0)</f>
        <v>12.421095968894717</v>
      </c>
      <c r="I20" s="4">
        <f>IF('Profit &amp; Loss'!I4&gt;0,'Balance Sheet'!I17/('Profit &amp; Loss'!I4/365),0)</f>
        <v>11.847977398345039</v>
      </c>
      <c r="J20" s="4">
        <f>IF('Profit &amp; Loss'!J4&gt;0,'Balance Sheet'!J17/('Profit &amp; Loss'!J4/365),0)</f>
        <v>12.840593476826974</v>
      </c>
      <c r="K20" s="4">
        <f>IF('Profit &amp; Loss'!K4&gt;0,'Balance Sheet'!K17/('Profit &amp; Loss'!K4/365),0)</f>
        <v>15.967849649986498</v>
      </c>
    </row>
    <row r="21" spans="1:11" x14ac:dyDescent="0.3">
      <c r="A21" t="s">
        <v>47</v>
      </c>
      <c r="B21" s="4">
        <f>IF('Balance Sheet'!B18&gt;0,'Profit &amp; Loss'!B4/'Balance Sheet'!B18,0)</f>
        <v>5.8637654347545496</v>
      </c>
      <c r="C21" s="4">
        <f>IF('Balance Sheet'!C18&gt;0,'Profit &amp; Loss'!C4/'Balance Sheet'!C18,0)</f>
        <v>6.2093522093522093</v>
      </c>
      <c r="D21" s="4">
        <f>IF('Balance Sheet'!D18&gt;0,'Profit &amp; Loss'!D4/'Balance Sheet'!D18,0)</f>
        <v>6.4241004651774416</v>
      </c>
      <c r="E21" s="4">
        <f>IF('Balance Sheet'!E18&gt;0,'Profit &amp; Loss'!E4/'Balance Sheet'!E18,0)</f>
        <v>8.41220526635189</v>
      </c>
      <c r="F21" s="4">
        <f>IF('Balance Sheet'!F18&gt;0,'Profit &amp; Loss'!F4/'Balance Sheet'!F18,0)</f>
        <v>8.0738129710566557</v>
      </c>
      <c r="G21" s="4">
        <f>IF('Balance Sheet'!G18&gt;0,'Profit &amp; Loss'!G4/'Balance Sheet'!G18,0)</f>
        <v>5.7095087667744151</v>
      </c>
      <c r="H21" s="4">
        <f>IF('Balance Sheet'!H18&gt;0,'Profit &amp; Loss'!H4/'Balance Sheet'!H18,0)</f>
        <v>6.4454062981313438</v>
      </c>
      <c r="I21" s="4">
        <f>IF('Balance Sheet'!I18&gt;0,'Profit &amp; Loss'!I4/'Balance Sheet'!I18,0)</f>
        <v>6.2596137363579221</v>
      </c>
      <c r="J21" s="4">
        <f>IF('Balance Sheet'!J18&gt;0,'Profit &amp; Loss'!J4/'Balance Sheet'!J18,0)</f>
        <v>5.8849315965176405</v>
      </c>
      <c r="K21" s="4">
        <f>IF('Balance Sheet'!K18&gt;0,'Profit &amp; Loss'!K4/'Balance Sheet'!K18,0)</f>
        <v>6.5918582519751885</v>
      </c>
    </row>
    <row r="23" spans="1:11" s="2" customFormat="1" x14ac:dyDescent="0.3">
      <c r="A23" s="2" t="s">
        <v>59</v>
      </c>
      <c r="B23" s="10">
        <f>IF(SUM('Balance Sheet'!B4:B5)&gt;0,'Profit &amp; Loss'!B12/SUM('Balance Sheet'!B4:B5),"")</f>
        <v>0.12845704710739519</v>
      </c>
      <c r="C23" s="10">
        <f>IF(SUM('Balance Sheet'!C4:C5)&gt;0,'Profit &amp; Loss'!C12/SUM('Balance Sheet'!C4:C5),"")</f>
        <v>0.11338634631355016</v>
      </c>
      <c r="D23" s="10">
        <f>IF(SUM('Balance Sheet'!D4:D5)&gt;0,'Profit &amp; Loss'!D12/SUM('Balance Sheet'!D4:D5),"")</f>
        <v>0.12291060489393743</v>
      </c>
      <c r="E23" s="10">
        <f>IF(SUM('Balance Sheet'!E4:E5)&gt;0,'Profit &amp; Loss'!E12/SUM('Balance Sheet'!E4:E5),"")</f>
        <v>0.10226497757754861</v>
      </c>
      <c r="F23" s="10">
        <f>IF(SUM('Balance Sheet'!F4:F5)&gt;0,'Profit &amp; Loss'!F12/SUM('Balance Sheet'!F4:F5),"")</f>
        <v>8.7615714457461163E-2</v>
      </c>
      <c r="G23" s="10">
        <f>IF(SUM('Balance Sheet'!G4:G5)&gt;0,'Profit &amp; Loss'!G12/SUM('Balance Sheet'!G4:G5),"")</f>
        <v>7.0165616448529797E-2</v>
      </c>
      <c r="H23" s="10">
        <f>IF(SUM('Balance Sheet'!H4:H5)&gt;0,'Profit &amp; Loss'!H12/SUM('Balance Sheet'!H4:H5),"")</f>
        <v>7.787834275194519E-2</v>
      </c>
      <c r="I23" s="10">
        <f>IF(SUM('Balance Sheet'!I4:I5)&gt;0,'Profit &amp; Loss'!I12/SUM('Balance Sheet'!I4:I5),"")</f>
        <v>9.3175875016762777E-2</v>
      </c>
      <c r="J23" s="10">
        <f>IF(SUM('Balance Sheet'!J4:J5)&gt;0,'Profit &amp; Loss'!J12/SUM('Balance Sheet'!J4:J5),"")</f>
        <v>8.7741231359036956E-2</v>
      </c>
      <c r="K23" s="10">
        <f>IF(SUM('Balance Sheet'!K4:K5)&gt;0,'Profit &amp; Loss'!K12/SUM('Balance Sheet'!K4:K5),"")</f>
        <v>8.259962049335863E-2</v>
      </c>
    </row>
    <row r="24" spans="1:11" s="2" customFormat="1" x14ac:dyDescent="0.3">
      <c r="A24" s="2" t="s">
        <v>60</v>
      </c>
      <c r="B24" s="10"/>
      <c r="C24" s="10">
        <f>IF((B4+B5+B6+C4+C5+C6)&gt;0,('Profit &amp; Loss'!C10+'Profit &amp; Loss'!C9)*2/(B4+B5+B6+C4+C5+C6),"")</f>
        <v>9.6716748176767092E-2</v>
      </c>
      <c r="D24" s="10">
        <f>IF((C4+C5+C6+D4+D5+D6)&gt;0,('Profit &amp; Loss'!D10+'Profit &amp; Loss'!D9)*2/(C4+C5+C6+D4+D5+D6),"")</f>
        <v>0.1133092762877107</v>
      </c>
      <c r="E24" s="10">
        <f>IF((D4+D5+D6+E4+E5+E6)&gt;0,('Profit &amp; Loss'!E10+'Profit &amp; Loss'!E9)*2/(D4+D5+D6+E4+E5+E6),"")</f>
        <v>0.11679443076108861</v>
      </c>
      <c r="F24" s="10">
        <f>IF((E4+E5+E6+F4+F5+F6)&gt;0,('Profit &amp; Loss'!F10+'Profit &amp; Loss'!F9)*2/(E4+E5+E6+F4+F5+F6),"")</f>
        <v>0.10090286000166764</v>
      </c>
      <c r="G24" s="10">
        <f>IF((F4+F5+F6+G4+G5+G6)&gt;0,('Profit &amp; Loss'!G10+'Profit &amp; Loss'!G9)*2/(F4+F5+F6+G4+G5+G6),"")</f>
        <v>8.5957812825040239E-2</v>
      </c>
      <c r="H24" s="10">
        <f>IF((G4+G5+G6+H4+H5+H6)&gt;0,('Profit &amp; Loss'!H10+'Profit &amp; Loss'!H9)*2/(G4+G5+G6+H4+H5+H6),"")</f>
        <v>9.4715650428318338E-2</v>
      </c>
      <c r="I24" s="10">
        <f>IF((H4+H5+H6+I4+I5+I6)&gt;0,('Profit &amp; Loss'!I10+'Profit &amp; Loss'!I9)*2/(H4+H5+H6+I4+I5+I6),"")</f>
        <v>0.10064077021276784</v>
      </c>
      <c r="J24" s="10">
        <f>IF((I4+I5+I6+J4+J5+J6)&gt;0,('Profit &amp; Loss'!J10+'Profit &amp; Loss'!J9)*2/(I4+I5+I6+J4+J5+J6),"")</f>
        <v>0.11027037689424744</v>
      </c>
      <c r="K24" s="10">
        <f>IF((J4+J5+J6+K4+K5+K6)&gt;0,('Profit &amp; Loss'!K10+'Profit &amp; Loss'!K9)*2/(J4+J5+J6+K4+K5+K6),"")</f>
        <v>0.11033178036450661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86" zoomScaleNormal="86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/>
    </sheetView>
  </sheetViews>
  <sheetFormatPr defaultColWidth="8.77734375" defaultRowHeight="14.4" x14ac:dyDescent="0.3"/>
  <cols>
    <col min="1" max="1" width="26.77734375" bestFit="1" customWidth="1"/>
    <col min="2" max="6" width="13.44140625" customWidth="1"/>
    <col min="7" max="11" width="13.44140625" bestFit="1" customWidth="1"/>
  </cols>
  <sheetData>
    <row r="1" spans="1:11" s="2" customFormat="1" x14ac:dyDescent="0.3">
      <c r="A1" s="2" t="str">
        <f>'Balance Sheet'!A1</f>
        <v>RELIANCE INDUSTRIES LTD</v>
      </c>
      <c r="E1" t="str">
        <f>UPDATE</f>
        <v/>
      </c>
      <c r="F1"/>
      <c r="J1" s="2" t="s">
        <v>1</v>
      </c>
    </row>
    <row r="3" spans="1:11" s="2" customFormat="1" x14ac:dyDescent="0.3">
      <c r="A3" s="11" t="s">
        <v>2</v>
      </c>
      <c r="B3" s="12">
        <f>'Data Sheet'!B81</f>
        <v>42460</v>
      </c>
      <c r="C3" s="12">
        <f>'Data Sheet'!C81</f>
        <v>42825</v>
      </c>
      <c r="D3" s="12">
        <f>'Data Sheet'!D81</f>
        <v>43190</v>
      </c>
      <c r="E3" s="12">
        <f>'Data Sheet'!E81</f>
        <v>43555</v>
      </c>
      <c r="F3" s="12">
        <f>'Data Sheet'!F81</f>
        <v>43921</v>
      </c>
      <c r="G3" s="12">
        <f>'Data Sheet'!G81</f>
        <v>44286</v>
      </c>
      <c r="H3" s="12">
        <f>'Data Sheet'!H81</f>
        <v>44651</v>
      </c>
      <c r="I3" s="12">
        <f>'Data Sheet'!I81</f>
        <v>45016</v>
      </c>
      <c r="J3" s="12">
        <f>'Data Sheet'!J81</f>
        <v>45382</v>
      </c>
      <c r="K3" s="12">
        <f>'Data Sheet'!K81</f>
        <v>45747</v>
      </c>
    </row>
    <row r="4" spans="1:11" s="2" customFormat="1" x14ac:dyDescent="0.3">
      <c r="A4" s="2" t="s">
        <v>32</v>
      </c>
      <c r="B4" s="1">
        <f>'Data Sheet'!B82</f>
        <v>38134</v>
      </c>
      <c r="C4" s="1">
        <f>'Data Sheet'!C82</f>
        <v>49550</v>
      </c>
      <c r="D4" s="1">
        <f>'Data Sheet'!D82</f>
        <v>71459</v>
      </c>
      <c r="E4" s="1">
        <f>'Data Sheet'!E82</f>
        <v>42346</v>
      </c>
      <c r="F4" s="1">
        <f>'Data Sheet'!F82</f>
        <v>94877</v>
      </c>
      <c r="G4" s="1">
        <f>'Data Sheet'!G82</f>
        <v>26958</v>
      </c>
      <c r="H4" s="1">
        <f>'Data Sheet'!H82</f>
        <v>110654</v>
      </c>
      <c r="I4" s="1">
        <f>'Data Sheet'!I82</f>
        <v>115032</v>
      </c>
      <c r="J4" s="1">
        <f>'Data Sheet'!J82</f>
        <v>158788</v>
      </c>
      <c r="K4" s="1">
        <f>'Data Sheet'!K82</f>
        <v>178703</v>
      </c>
    </row>
    <row r="5" spans="1:11" x14ac:dyDescent="0.3">
      <c r="A5" t="s">
        <v>33</v>
      </c>
      <c r="B5" s="6">
        <f>'Data Sheet'!B83</f>
        <v>-36186</v>
      </c>
      <c r="C5" s="6">
        <f>'Data Sheet'!C83</f>
        <v>-66201</v>
      </c>
      <c r="D5" s="6">
        <f>'Data Sheet'!D83</f>
        <v>-68192</v>
      </c>
      <c r="E5" s="6">
        <f>'Data Sheet'!E83</f>
        <v>-94507</v>
      </c>
      <c r="F5" s="6">
        <f>'Data Sheet'!F83</f>
        <v>-72497</v>
      </c>
      <c r="G5" s="6">
        <f>'Data Sheet'!G83</f>
        <v>-142385</v>
      </c>
      <c r="H5" s="6">
        <f>'Data Sheet'!H83</f>
        <v>-109162</v>
      </c>
      <c r="I5" s="6">
        <f>'Data Sheet'!I83</f>
        <v>-93001</v>
      </c>
      <c r="J5" s="6">
        <f>'Data Sheet'!J83</f>
        <v>-113581</v>
      </c>
      <c r="K5" s="6">
        <f>'Data Sheet'!K83</f>
        <v>-137535</v>
      </c>
    </row>
    <row r="6" spans="1:11" x14ac:dyDescent="0.3">
      <c r="A6" t="s">
        <v>34</v>
      </c>
      <c r="B6" s="6">
        <f>'Data Sheet'!B84</f>
        <v>-3210</v>
      </c>
      <c r="C6" s="6">
        <f>'Data Sheet'!C84</f>
        <v>8617</v>
      </c>
      <c r="D6" s="6">
        <f>'Data Sheet'!D84</f>
        <v>-2001</v>
      </c>
      <c r="E6" s="6">
        <f>'Data Sheet'!E84</f>
        <v>55906</v>
      </c>
      <c r="F6" s="6">
        <f>'Data Sheet'!F84</f>
        <v>-2541</v>
      </c>
      <c r="G6" s="6">
        <f>'Data Sheet'!G84</f>
        <v>101904</v>
      </c>
      <c r="H6" s="6">
        <f>'Data Sheet'!H84</f>
        <v>17289</v>
      </c>
      <c r="I6" s="6">
        <f>'Data Sheet'!I84</f>
        <v>10455</v>
      </c>
      <c r="J6" s="6">
        <f>'Data Sheet'!J84</f>
        <v>-16646</v>
      </c>
      <c r="K6" s="6">
        <f>'Data Sheet'!K84</f>
        <v>-31891</v>
      </c>
    </row>
    <row r="7" spans="1:11" s="2" customFormat="1" x14ac:dyDescent="0.3">
      <c r="A7" s="2" t="s">
        <v>35</v>
      </c>
      <c r="B7" s="1">
        <f>'Data Sheet'!B85</f>
        <v>-1262</v>
      </c>
      <c r="C7" s="1">
        <f>'Data Sheet'!C85</f>
        <v>-8034</v>
      </c>
      <c r="D7" s="1">
        <f>'Data Sheet'!D85</f>
        <v>1266</v>
      </c>
      <c r="E7" s="1">
        <f>'Data Sheet'!E85</f>
        <v>3745</v>
      </c>
      <c r="F7" s="1">
        <f>'Data Sheet'!F85</f>
        <v>19839</v>
      </c>
      <c r="G7" s="1">
        <f>'Data Sheet'!G85</f>
        <v>-13523</v>
      </c>
      <c r="H7" s="1">
        <f>'Data Sheet'!H85</f>
        <v>18781</v>
      </c>
      <c r="I7" s="1">
        <f>'Data Sheet'!I85</f>
        <v>32486</v>
      </c>
      <c r="J7" s="1">
        <f>'Data Sheet'!J85</f>
        <v>28561</v>
      </c>
      <c r="K7" s="1">
        <f>'Data Sheet'!K85</f>
        <v>9277</v>
      </c>
    </row>
    <row r="8" spans="1:11" x14ac:dyDescent="0.3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3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77734375" defaultRowHeight="14.4" x14ac:dyDescent="0.3"/>
  <cols>
    <col min="1" max="1" width="8.77734375" style="2"/>
    <col min="2" max="2" width="10.44140625" customWidth="1"/>
    <col min="3" max="3" width="13.33203125" style="20" customWidth="1"/>
    <col min="6" max="6" width="6.77734375" customWidth="1"/>
  </cols>
  <sheetData>
    <row r="1" spans="1:7" ht="21" x14ac:dyDescent="0.4">
      <c r="A1" s="19" t="s">
        <v>56</v>
      </c>
    </row>
    <row r="3" spans="1:7" x14ac:dyDescent="0.3">
      <c r="A3" s="2" t="s">
        <v>48</v>
      </c>
    </row>
    <row r="4" spans="1:7" x14ac:dyDescent="0.3">
      <c r="B4" t="s">
        <v>90</v>
      </c>
    </row>
    <row r="5" spans="1:7" x14ac:dyDescent="0.3">
      <c r="B5" t="s">
        <v>49</v>
      </c>
    </row>
    <row r="7" spans="1:7" x14ac:dyDescent="0.3">
      <c r="A7" s="2" t="s">
        <v>50</v>
      </c>
    </row>
    <row r="8" spans="1:7" x14ac:dyDescent="0.3">
      <c r="B8" t="s">
        <v>51</v>
      </c>
      <c r="C8" s="21" t="s">
        <v>91</v>
      </c>
    </row>
    <row r="10" spans="1:7" x14ac:dyDescent="0.3">
      <c r="A10" s="2" t="s">
        <v>52</v>
      </c>
    </row>
    <row r="11" spans="1:7" x14ac:dyDescent="0.3">
      <c r="B11" t="s">
        <v>53</v>
      </c>
    </row>
    <row r="14" spans="1:7" x14ac:dyDescent="0.3">
      <c r="A14" s="2" t="s">
        <v>54</v>
      </c>
    </row>
    <row r="15" spans="1:7" x14ac:dyDescent="0.3">
      <c r="B15" t="s">
        <v>55</v>
      </c>
    </row>
    <row r="16" spans="1:7" x14ac:dyDescent="0.3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Normal="100" zoomScalePageLayoutView="120" workbookViewId="0">
      <pane xSplit="1" ySplit="1" topLeftCell="B13" activePane="bottomRight" state="frozen"/>
      <selection activeCell="C4" sqref="C4"/>
      <selection pane="topRight" activeCell="C4" sqref="C4"/>
      <selection pane="bottomLeft" activeCell="C4" sqref="C4"/>
      <selection pane="bottomRight" activeCell="B1" sqref="B1"/>
    </sheetView>
  </sheetViews>
  <sheetFormatPr defaultColWidth="8.77734375" defaultRowHeight="14.4" x14ac:dyDescent="0.3"/>
  <cols>
    <col min="1" max="1" width="27.6640625" style="4" bestFit="1" customWidth="1"/>
    <col min="2" max="11" width="13.44140625" style="4" bestFit="1" customWidth="1"/>
    <col min="12" max="16384" width="8.77734375" style="4"/>
  </cols>
  <sheetData>
    <row r="1" spans="1:11" s="1" customFormat="1" x14ac:dyDescent="0.3">
      <c r="A1" s="1" t="s">
        <v>0</v>
      </c>
      <c r="B1" s="1" t="s">
        <v>63</v>
      </c>
      <c r="E1" s="91" t="str">
        <f>IF(B2&lt;&gt;B3, "A NEW VERSION OF THE WORKSHEET IS AVAILABLE", "")</f>
        <v/>
      </c>
      <c r="F1" s="91"/>
      <c r="G1" s="91"/>
      <c r="H1" s="91"/>
      <c r="I1" s="91"/>
      <c r="J1" s="91"/>
      <c r="K1" s="91"/>
    </row>
    <row r="2" spans="1:11" x14ac:dyDescent="0.3">
      <c r="A2" s="1" t="s">
        <v>61</v>
      </c>
      <c r="B2" s="4">
        <v>2.1</v>
      </c>
      <c r="E2" s="92" t="s">
        <v>36</v>
      </c>
      <c r="F2" s="92"/>
      <c r="G2" s="92"/>
      <c r="H2" s="92"/>
      <c r="I2" s="92"/>
      <c r="J2" s="92"/>
      <c r="K2" s="92"/>
    </row>
    <row r="3" spans="1:11" x14ac:dyDescent="0.3">
      <c r="A3" s="1" t="s">
        <v>62</v>
      </c>
      <c r="B3" s="4">
        <v>2.1</v>
      </c>
    </row>
    <row r="4" spans="1:11" x14ac:dyDescent="0.3">
      <c r="A4" s="1"/>
    </row>
    <row r="5" spans="1:11" x14ac:dyDescent="0.3">
      <c r="A5" s="1" t="s">
        <v>64</v>
      </c>
    </row>
    <row r="6" spans="1:11" x14ac:dyDescent="0.3">
      <c r="A6" s="4" t="s">
        <v>42</v>
      </c>
      <c r="B6" s="4">
        <f>IF(B9&gt;0, B9/B8, 0)</f>
        <v>1353.2535018315018</v>
      </c>
    </row>
    <row r="7" spans="1:11" x14ac:dyDescent="0.3">
      <c r="A7" s="4" t="s">
        <v>31</v>
      </c>
      <c r="B7">
        <v>10</v>
      </c>
    </row>
    <row r="8" spans="1:11" x14ac:dyDescent="0.3">
      <c r="A8" s="4" t="s">
        <v>43</v>
      </c>
      <c r="B8">
        <v>1365</v>
      </c>
    </row>
    <row r="9" spans="1:11" x14ac:dyDescent="0.3">
      <c r="A9" s="4" t="s">
        <v>79</v>
      </c>
      <c r="B9">
        <v>1847191.03</v>
      </c>
    </row>
    <row r="15" spans="1:11" x14ac:dyDescent="0.3">
      <c r="A15" s="1" t="s">
        <v>37</v>
      </c>
    </row>
    <row r="16" spans="1:11" s="18" customFormat="1" x14ac:dyDescent="0.3">
      <c r="A16" s="17" t="s">
        <v>38</v>
      </c>
      <c r="B16" s="12">
        <v>42460</v>
      </c>
      <c r="C16" s="12">
        <v>42825</v>
      </c>
      <c r="D16" s="12">
        <v>43190</v>
      </c>
      <c r="E16" s="12">
        <v>43555</v>
      </c>
      <c r="F16" s="12">
        <v>43921</v>
      </c>
      <c r="G16" s="12">
        <v>44286</v>
      </c>
      <c r="H16" s="12">
        <v>44651</v>
      </c>
      <c r="I16" s="12">
        <v>45016</v>
      </c>
      <c r="J16" s="12">
        <v>45382</v>
      </c>
      <c r="K16" s="12">
        <v>45747</v>
      </c>
    </row>
    <row r="17" spans="1:11" s="6" customFormat="1" x14ac:dyDescent="0.3">
      <c r="A17" s="6" t="s">
        <v>6</v>
      </c>
      <c r="B17">
        <v>272583</v>
      </c>
      <c r="C17">
        <v>303954</v>
      </c>
      <c r="D17">
        <v>390823</v>
      </c>
      <c r="E17">
        <v>568337</v>
      </c>
      <c r="F17">
        <v>596679</v>
      </c>
      <c r="G17">
        <v>466307</v>
      </c>
      <c r="H17">
        <v>694673</v>
      </c>
      <c r="I17">
        <v>876396</v>
      </c>
      <c r="J17">
        <v>899041</v>
      </c>
      <c r="K17">
        <v>962820</v>
      </c>
    </row>
    <row r="18" spans="1:11" s="6" customFormat="1" x14ac:dyDescent="0.3">
      <c r="A18" s="4" t="s">
        <v>80</v>
      </c>
      <c r="B18">
        <v>186254</v>
      </c>
      <c r="C18">
        <v>217518</v>
      </c>
      <c r="D18">
        <v>276076</v>
      </c>
      <c r="E18">
        <v>399167</v>
      </c>
      <c r="F18">
        <v>410288</v>
      </c>
      <c r="G18">
        <v>301765</v>
      </c>
      <c r="H18">
        <v>494449</v>
      </c>
      <c r="I18">
        <v>618746</v>
      </c>
      <c r="J18">
        <v>590226</v>
      </c>
      <c r="K18">
        <v>644813</v>
      </c>
    </row>
    <row r="19" spans="1:11" s="6" customFormat="1" x14ac:dyDescent="0.3">
      <c r="A19" s="4" t="s">
        <v>81</v>
      </c>
      <c r="B19">
        <v>-2560</v>
      </c>
      <c r="C19">
        <v>5218</v>
      </c>
      <c r="D19">
        <v>8610</v>
      </c>
      <c r="E19">
        <v>4680</v>
      </c>
      <c r="F19">
        <v>5048</v>
      </c>
      <c r="G19">
        <v>9064</v>
      </c>
      <c r="H19">
        <v>21457</v>
      </c>
      <c r="I19">
        <v>30263</v>
      </c>
      <c r="J19">
        <v>4883</v>
      </c>
      <c r="K19">
        <v>15124</v>
      </c>
    </row>
    <row r="20" spans="1:11" s="6" customFormat="1" x14ac:dyDescent="0.3">
      <c r="A20" s="4" t="s">
        <v>82</v>
      </c>
      <c r="B20">
        <v>10741</v>
      </c>
      <c r="C20">
        <v>11251</v>
      </c>
      <c r="D20">
        <v>14569</v>
      </c>
      <c r="E20">
        <v>17029</v>
      </c>
      <c r="F20">
        <v>15098</v>
      </c>
      <c r="G20">
        <v>13214</v>
      </c>
      <c r="H20">
        <v>17902</v>
      </c>
      <c r="I20">
        <v>25062</v>
      </c>
      <c r="J20">
        <v>22137</v>
      </c>
      <c r="K20">
        <v>23823</v>
      </c>
    </row>
    <row r="21" spans="1:11" s="6" customFormat="1" x14ac:dyDescent="0.3">
      <c r="A21" s="4" t="s">
        <v>83</v>
      </c>
      <c r="B21">
        <v>8272</v>
      </c>
      <c r="C21">
        <v>9909</v>
      </c>
      <c r="D21">
        <v>9691</v>
      </c>
      <c r="E21">
        <v>12198</v>
      </c>
      <c r="F21">
        <v>11434</v>
      </c>
      <c r="G21">
        <v>7687</v>
      </c>
      <c r="H21">
        <v>12174</v>
      </c>
      <c r="I21">
        <v>19658</v>
      </c>
      <c r="J21">
        <v>18276</v>
      </c>
      <c r="K21">
        <v>18358</v>
      </c>
    </row>
    <row r="22" spans="1:11" s="6" customFormat="1" x14ac:dyDescent="0.3">
      <c r="A22" s="4" t="s">
        <v>84</v>
      </c>
      <c r="B22">
        <v>7407</v>
      </c>
      <c r="C22">
        <v>8388</v>
      </c>
      <c r="D22">
        <v>9523</v>
      </c>
      <c r="E22">
        <v>12488</v>
      </c>
      <c r="F22">
        <v>14075</v>
      </c>
      <c r="G22">
        <v>14817</v>
      </c>
      <c r="H22">
        <v>18758</v>
      </c>
      <c r="I22">
        <v>24872</v>
      </c>
      <c r="J22">
        <v>25679</v>
      </c>
      <c r="K22">
        <v>28559</v>
      </c>
    </row>
    <row r="23" spans="1:11" s="6" customFormat="1" x14ac:dyDescent="0.3">
      <c r="A23" s="4" t="s">
        <v>85</v>
      </c>
      <c r="B23">
        <v>18808</v>
      </c>
      <c r="C23">
        <v>18520</v>
      </c>
      <c r="D23">
        <v>29111</v>
      </c>
      <c r="E23">
        <v>50221</v>
      </c>
      <c r="F23">
        <v>62622</v>
      </c>
      <c r="G23">
        <v>56154</v>
      </c>
      <c r="H23">
        <v>63513</v>
      </c>
      <c r="I23">
        <v>67369</v>
      </c>
      <c r="J23">
        <v>77292</v>
      </c>
      <c r="K23">
        <v>88760</v>
      </c>
    </row>
    <row r="24" spans="1:11" s="6" customFormat="1" x14ac:dyDescent="0.3">
      <c r="A24" s="4" t="s">
        <v>86</v>
      </c>
      <c r="B24">
        <v>-3240</v>
      </c>
      <c r="C24">
        <v>-2721</v>
      </c>
      <c r="D24">
        <v>-3852</v>
      </c>
      <c r="E24">
        <v>-2336</v>
      </c>
      <c r="F24">
        <v>-1056</v>
      </c>
      <c r="G24">
        <v>944</v>
      </c>
      <c r="H24">
        <v>753</v>
      </c>
      <c r="I24">
        <v>8634</v>
      </c>
      <c r="J24">
        <v>7816</v>
      </c>
      <c r="K24">
        <v>8033</v>
      </c>
    </row>
    <row r="25" spans="1:11" s="6" customFormat="1" x14ac:dyDescent="0.3">
      <c r="A25" s="6" t="s">
        <v>9</v>
      </c>
      <c r="B25">
        <v>12212</v>
      </c>
      <c r="C25">
        <v>9222</v>
      </c>
      <c r="D25">
        <v>9869</v>
      </c>
      <c r="E25">
        <v>8406</v>
      </c>
      <c r="F25">
        <v>8570</v>
      </c>
      <c r="G25">
        <v>22432</v>
      </c>
      <c r="H25">
        <v>19600</v>
      </c>
      <c r="I25">
        <v>12020</v>
      </c>
      <c r="J25">
        <v>15792</v>
      </c>
      <c r="K25">
        <v>17824</v>
      </c>
    </row>
    <row r="26" spans="1:11" s="6" customFormat="1" x14ac:dyDescent="0.3">
      <c r="A26" s="6" t="s">
        <v>10</v>
      </c>
      <c r="B26">
        <v>11565</v>
      </c>
      <c r="C26">
        <v>11646</v>
      </c>
      <c r="D26">
        <v>16706</v>
      </c>
      <c r="E26">
        <v>20934</v>
      </c>
      <c r="F26">
        <v>22203</v>
      </c>
      <c r="G26">
        <v>26572</v>
      </c>
      <c r="H26">
        <v>29782</v>
      </c>
      <c r="I26">
        <v>40303</v>
      </c>
      <c r="J26">
        <v>50832</v>
      </c>
      <c r="K26">
        <v>53136</v>
      </c>
    </row>
    <row r="27" spans="1:11" s="6" customFormat="1" x14ac:dyDescent="0.3">
      <c r="A27" s="6" t="s">
        <v>11</v>
      </c>
      <c r="B27">
        <v>3691</v>
      </c>
      <c r="C27">
        <v>3849</v>
      </c>
      <c r="D27">
        <v>8052</v>
      </c>
      <c r="E27">
        <v>16495</v>
      </c>
      <c r="F27">
        <v>22027</v>
      </c>
      <c r="G27">
        <v>21189</v>
      </c>
      <c r="H27">
        <v>14584</v>
      </c>
      <c r="I27">
        <v>19571</v>
      </c>
      <c r="J27">
        <v>23118</v>
      </c>
      <c r="K27">
        <v>24269</v>
      </c>
    </row>
    <row r="28" spans="1:11" s="6" customFormat="1" x14ac:dyDescent="0.3">
      <c r="A28" s="6" t="s">
        <v>12</v>
      </c>
      <c r="B28">
        <v>38737</v>
      </c>
      <c r="C28">
        <v>40034</v>
      </c>
      <c r="D28">
        <v>49426</v>
      </c>
      <c r="E28">
        <v>55227</v>
      </c>
      <c r="F28">
        <v>53606</v>
      </c>
      <c r="G28">
        <v>55461</v>
      </c>
      <c r="H28">
        <v>83815</v>
      </c>
      <c r="I28">
        <v>94464</v>
      </c>
      <c r="J28">
        <v>104340</v>
      </c>
      <c r="K28">
        <v>106017</v>
      </c>
    </row>
    <row r="29" spans="1:11" s="6" customFormat="1" x14ac:dyDescent="0.3">
      <c r="A29" s="6" t="s">
        <v>13</v>
      </c>
      <c r="B29">
        <v>8876</v>
      </c>
      <c r="C29">
        <v>10201</v>
      </c>
      <c r="D29">
        <v>13346</v>
      </c>
      <c r="E29">
        <v>15390</v>
      </c>
      <c r="F29">
        <v>13726</v>
      </c>
      <c r="G29">
        <v>1722</v>
      </c>
      <c r="H29">
        <v>15970</v>
      </c>
      <c r="I29">
        <v>20376</v>
      </c>
      <c r="J29">
        <v>25707</v>
      </c>
      <c r="K29">
        <v>25230</v>
      </c>
    </row>
    <row r="30" spans="1:11" s="6" customFormat="1" x14ac:dyDescent="0.3">
      <c r="A30" s="6" t="s">
        <v>14</v>
      </c>
      <c r="B30">
        <v>29745</v>
      </c>
      <c r="C30">
        <v>29901</v>
      </c>
      <c r="D30">
        <v>36075</v>
      </c>
      <c r="E30">
        <v>39588</v>
      </c>
      <c r="F30">
        <v>39354</v>
      </c>
      <c r="G30">
        <v>49128</v>
      </c>
      <c r="H30">
        <v>60705</v>
      </c>
      <c r="I30">
        <v>66702</v>
      </c>
      <c r="J30">
        <v>69621</v>
      </c>
      <c r="K30">
        <v>69648</v>
      </c>
    </row>
    <row r="31" spans="1:11" s="6" customFormat="1" x14ac:dyDescent="0.3">
      <c r="A31" s="6" t="s">
        <v>70</v>
      </c>
      <c r="B31">
        <v>3095.4</v>
      </c>
      <c r="C31">
        <v>3254.9</v>
      </c>
      <c r="D31">
        <v>3553.2</v>
      </c>
      <c r="E31">
        <v>3851.9</v>
      </c>
      <c r="F31">
        <v>4120.3500000000004</v>
      </c>
      <c r="G31">
        <v>4511.5</v>
      </c>
      <c r="H31">
        <v>5412</v>
      </c>
      <c r="I31">
        <v>6089.4</v>
      </c>
      <c r="J31">
        <v>6766</v>
      </c>
      <c r="K31">
        <v>7442.6</v>
      </c>
    </row>
    <row r="32" spans="1:11" s="6" customFormat="1" x14ac:dyDescent="0.3"/>
    <row r="33" spans="1:11" x14ac:dyDescent="0.3">
      <c r="A33" s="6"/>
    </row>
    <row r="34" spans="1:11" x14ac:dyDescent="0.3">
      <c r="A34" s="6"/>
    </row>
    <row r="35" spans="1:11" x14ac:dyDescent="0.3">
      <c r="A35" s="6"/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6"/>
    </row>
    <row r="40" spans="1:11" x14ac:dyDescent="0.3">
      <c r="A40" s="1" t="s">
        <v>39</v>
      </c>
    </row>
    <row r="41" spans="1:11" s="18" customFormat="1" x14ac:dyDescent="0.3">
      <c r="A41" s="17" t="s">
        <v>38</v>
      </c>
      <c r="B41" s="12">
        <v>45199</v>
      </c>
      <c r="C41" s="12">
        <v>45291</v>
      </c>
      <c r="D41" s="12">
        <v>45382</v>
      </c>
      <c r="E41" s="12">
        <v>45473</v>
      </c>
      <c r="F41" s="12">
        <v>45565</v>
      </c>
      <c r="G41" s="12">
        <v>45657</v>
      </c>
      <c r="H41" s="12">
        <v>45747</v>
      </c>
      <c r="I41" s="12">
        <v>45838</v>
      </c>
      <c r="J41" s="12">
        <v>45930</v>
      </c>
      <c r="K41" s="12">
        <v>46022</v>
      </c>
    </row>
    <row r="42" spans="1:11" s="6" customFormat="1" x14ac:dyDescent="0.3">
      <c r="A42" s="6" t="s">
        <v>6</v>
      </c>
      <c r="B42">
        <v>231886</v>
      </c>
      <c r="C42">
        <v>225086</v>
      </c>
      <c r="D42">
        <v>236533</v>
      </c>
      <c r="E42">
        <v>231784</v>
      </c>
      <c r="F42">
        <v>231535</v>
      </c>
      <c r="G42">
        <v>239986</v>
      </c>
      <c r="H42">
        <v>261388</v>
      </c>
      <c r="I42">
        <v>243632</v>
      </c>
      <c r="J42">
        <v>254623</v>
      </c>
      <c r="K42">
        <v>264905</v>
      </c>
    </row>
    <row r="43" spans="1:11" s="6" customFormat="1" x14ac:dyDescent="0.3">
      <c r="A43" s="6" t="s">
        <v>7</v>
      </c>
      <c r="B43">
        <v>190918</v>
      </c>
      <c r="C43">
        <v>184430</v>
      </c>
      <c r="D43">
        <v>194017</v>
      </c>
      <c r="E43">
        <v>193019</v>
      </c>
      <c r="F43">
        <v>192477</v>
      </c>
      <c r="G43">
        <v>196197</v>
      </c>
      <c r="H43">
        <v>217556</v>
      </c>
      <c r="I43">
        <v>200727</v>
      </c>
      <c r="J43">
        <v>208738</v>
      </c>
      <c r="K43">
        <v>218887</v>
      </c>
    </row>
    <row r="44" spans="1:11" s="6" customFormat="1" x14ac:dyDescent="0.3">
      <c r="A44" s="6" t="s">
        <v>9</v>
      </c>
      <c r="B44">
        <v>3841</v>
      </c>
      <c r="C44">
        <v>3869</v>
      </c>
      <c r="D44">
        <v>4534</v>
      </c>
      <c r="E44">
        <v>3983</v>
      </c>
      <c r="F44">
        <v>4876</v>
      </c>
      <c r="G44">
        <v>4214</v>
      </c>
      <c r="H44">
        <v>4905</v>
      </c>
      <c r="I44">
        <v>15119</v>
      </c>
      <c r="J44">
        <v>4482</v>
      </c>
      <c r="K44">
        <v>4914</v>
      </c>
    </row>
    <row r="45" spans="1:11" s="6" customFormat="1" x14ac:dyDescent="0.3">
      <c r="A45" s="6" t="s">
        <v>10</v>
      </c>
      <c r="B45">
        <v>12585</v>
      </c>
      <c r="C45">
        <v>12903</v>
      </c>
      <c r="D45">
        <v>13569</v>
      </c>
      <c r="E45">
        <v>13596</v>
      </c>
      <c r="F45">
        <v>12880</v>
      </c>
      <c r="G45">
        <v>13181</v>
      </c>
      <c r="H45">
        <v>13479</v>
      </c>
      <c r="I45">
        <v>13842</v>
      </c>
      <c r="J45">
        <v>14416</v>
      </c>
      <c r="K45">
        <v>14622</v>
      </c>
    </row>
    <row r="46" spans="1:11" s="6" customFormat="1" x14ac:dyDescent="0.3">
      <c r="A46" s="6" t="s">
        <v>11</v>
      </c>
      <c r="B46">
        <v>5731</v>
      </c>
      <c r="C46">
        <v>5789</v>
      </c>
      <c r="D46">
        <v>5761</v>
      </c>
      <c r="E46">
        <v>5918</v>
      </c>
      <c r="F46">
        <v>6017</v>
      </c>
      <c r="G46">
        <v>6179</v>
      </c>
      <c r="H46">
        <v>6155</v>
      </c>
      <c r="I46">
        <v>7036</v>
      </c>
      <c r="J46">
        <v>6827</v>
      </c>
      <c r="K46">
        <v>6613</v>
      </c>
    </row>
    <row r="47" spans="1:11" s="6" customFormat="1" x14ac:dyDescent="0.3">
      <c r="A47" s="6" t="s">
        <v>12</v>
      </c>
      <c r="B47">
        <v>26493</v>
      </c>
      <c r="C47">
        <v>25833</v>
      </c>
      <c r="D47">
        <v>27720</v>
      </c>
      <c r="E47">
        <v>23234</v>
      </c>
      <c r="F47">
        <v>25037</v>
      </c>
      <c r="G47">
        <v>28643</v>
      </c>
      <c r="H47">
        <v>29103</v>
      </c>
      <c r="I47">
        <v>37146</v>
      </c>
      <c r="J47">
        <v>29124</v>
      </c>
      <c r="K47">
        <v>29697</v>
      </c>
    </row>
    <row r="48" spans="1:11" s="6" customFormat="1" x14ac:dyDescent="0.3">
      <c r="A48" s="6" t="s">
        <v>13</v>
      </c>
      <c r="B48">
        <v>6673</v>
      </c>
      <c r="C48">
        <v>6345</v>
      </c>
      <c r="D48">
        <v>6577</v>
      </c>
      <c r="E48">
        <v>5786</v>
      </c>
      <c r="F48">
        <v>5936</v>
      </c>
      <c r="G48">
        <v>6839</v>
      </c>
      <c r="H48">
        <v>6669</v>
      </c>
      <c r="I48">
        <v>6465</v>
      </c>
      <c r="J48">
        <v>6978</v>
      </c>
      <c r="K48">
        <v>7530</v>
      </c>
    </row>
    <row r="49" spans="1:11" s="6" customFormat="1" x14ac:dyDescent="0.3">
      <c r="A49" s="6" t="s">
        <v>14</v>
      </c>
      <c r="B49">
        <v>17394</v>
      </c>
      <c r="C49">
        <v>17265</v>
      </c>
      <c r="D49">
        <v>18951</v>
      </c>
      <c r="E49">
        <v>15138</v>
      </c>
      <c r="F49">
        <v>16563</v>
      </c>
      <c r="G49">
        <v>18540</v>
      </c>
      <c r="H49">
        <v>19407</v>
      </c>
      <c r="I49">
        <v>26994</v>
      </c>
      <c r="J49">
        <v>18165</v>
      </c>
      <c r="K49">
        <v>18645</v>
      </c>
    </row>
    <row r="50" spans="1:11" x14ac:dyDescent="0.3">
      <c r="A50" s="6" t="s">
        <v>8</v>
      </c>
      <c r="B50">
        <v>40968</v>
      </c>
      <c r="C50">
        <v>40656</v>
      </c>
      <c r="D50">
        <v>42516</v>
      </c>
      <c r="E50">
        <v>38765</v>
      </c>
      <c r="F50">
        <v>39058</v>
      </c>
      <c r="G50">
        <v>43789</v>
      </c>
      <c r="H50">
        <v>43832</v>
      </c>
      <c r="I50">
        <v>42905</v>
      </c>
      <c r="J50">
        <v>45885</v>
      </c>
      <c r="K50">
        <v>46018</v>
      </c>
    </row>
    <row r="51" spans="1:11" x14ac:dyDescent="0.3">
      <c r="A51" s="6"/>
    </row>
    <row r="52" spans="1:11" x14ac:dyDescent="0.3">
      <c r="A52" s="6"/>
    </row>
    <row r="53" spans="1:11" x14ac:dyDescent="0.3">
      <c r="A53" s="6"/>
    </row>
    <row r="54" spans="1:11" x14ac:dyDescent="0.3">
      <c r="A54" s="6"/>
    </row>
    <row r="55" spans="1:11" x14ac:dyDescent="0.3">
      <c r="A55" s="1" t="s">
        <v>40</v>
      </c>
    </row>
    <row r="56" spans="1:11" s="18" customFormat="1" x14ac:dyDescent="0.3">
      <c r="A56" s="17" t="s">
        <v>38</v>
      </c>
      <c r="B56" s="12">
        <v>42460</v>
      </c>
      <c r="C56" s="12">
        <v>42825</v>
      </c>
      <c r="D56" s="12">
        <v>43190</v>
      </c>
      <c r="E56" s="12">
        <v>43555</v>
      </c>
      <c r="F56" s="12">
        <v>43921</v>
      </c>
      <c r="G56" s="12">
        <v>44286</v>
      </c>
      <c r="H56" s="12">
        <v>44651</v>
      </c>
      <c r="I56" s="12">
        <v>45016</v>
      </c>
      <c r="J56" s="12">
        <v>45382</v>
      </c>
      <c r="K56" s="12">
        <v>45747</v>
      </c>
    </row>
    <row r="57" spans="1:11" x14ac:dyDescent="0.3">
      <c r="A57" s="6" t="s">
        <v>24</v>
      </c>
      <c r="B57">
        <v>2948</v>
      </c>
      <c r="C57">
        <v>2959</v>
      </c>
      <c r="D57">
        <v>5922</v>
      </c>
      <c r="E57">
        <v>5926</v>
      </c>
      <c r="F57">
        <v>6339</v>
      </c>
      <c r="G57">
        <v>6445</v>
      </c>
      <c r="H57">
        <v>6765</v>
      </c>
      <c r="I57">
        <v>6766</v>
      </c>
      <c r="J57">
        <v>6766</v>
      </c>
      <c r="K57">
        <v>13532</v>
      </c>
    </row>
    <row r="58" spans="1:11" x14ac:dyDescent="0.3">
      <c r="A58" s="6" t="s">
        <v>25</v>
      </c>
      <c r="B58">
        <v>228608</v>
      </c>
      <c r="C58">
        <v>260750</v>
      </c>
      <c r="D58">
        <v>287584</v>
      </c>
      <c r="E58">
        <v>381186</v>
      </c>
      <c r="F58">
        <v>442827</v>
      </c>
      <c r="G58">
        <v>693727</v>
      </c>
      <c r="H58">
        <v>772720</v>
      </c>
      <c r="I58">
        <v>709106</v>
      </c>
      <c r="J58">
        <v>786715</v>
      </c>
      <c r="K58">
        <v>829668</v>
      </c>
    </row>
    <row r="59" spans="1:11" x14ac:dyDescent="0.3">
      <c r="A59" s="6" t="s">
        <v>71</v>
      </c>
      <c r="B59">
        <v>194714</v>
      </c>
      <c r="C59">
        <v>217475</v>
      </c>
      <c r="D59">
        <v>239843</v>
      </c>
      <c r="E59">
        <v>307714</v>
      </c>
      <c r="F59">
        <v>355133</v>
      </c>
      <c r="G59">
        <v>278962</v>
      </c>
      <c r="H59">
        <v>319158</v>
      </c>
      <c r="I59">
        <v>451664</v>
      </c>
      <c r="J59">
        <v>350719</v>
      </c>
      <c r="K59">
        <v>374313</v>
      </c>
    </row>
    <row r="60" spans="1:11" x14ac:dyDescent="0.3">
      <c r="A60" s="6" t="s">
        <v>72</v>
      </c>
      <c r="B60">
        <v>172727</v>
      </c>
      <c r="C60">
        <v>225618</v>
      </c>
      <c r="D60">
        <v>277924</v>
      </c>
      <c r="E60">
        <v>302804</v>
      </c>
      <c r="F60">
        <v>358716</v>
      </c>
      <c r="G60">
        <v>340931</v>
      </c>
      <c r="H60">
        <v>399979</v>
      </c>
      <c r="I60">
        <v>438346</v>
      </c>
      <c r="J60">
        <v>610848</v>
      </c>
      <c r="K60">
        <v>732200</v>
      </c>
    </row>
    <row r="61" spans="1:11" s="1" customFormat="1" x14ac:dyDescent="0.3">
      <c r="A61" s="1" t="s">
        <v>26</v>
      </c>
      <c r="B61">
        <v>598997</v>
      </c>
      <c r="C61">
        <v>706802</v>
      </c>
      <c r="D61">
        <v>811273</v>
      </c>
      <c r="E61">
        <v>997630</v>
      </c>
      <c r="F61">
        <v>1163015</v>
      </c>
      <c r="G61">
        <v>1320065</v>
      </c>
      <c r="H61">
        <v>1498622</v>
      </c>
      <c r="I61">
        <v>1605882</v>
      </c>
      <c r="J61">
        <v>1755048</v>
      </c>
      <c r="K61">
        <v>1949713</v>
      </c>
    </row>
    <row r="62" spans="1:11" x14ac:dyDescent="0.3">
      <c r="A62" s="6" t="s">
        <v>27</v>
      </c>
      <c r="B62">
        <v>184910</v>
      </c>
      <c r="C62">
        <v>198526</v>
      </c>
      <c r="D62">
        <v>403885</v>
      </c>
      <c r="E62">
        <v>398374</v>
      </c>
      <c r="F62">
        <v>532658</v>
      </c>
      <c r="G62">
        <v>541258</v>
      </c>
      <c r="H62">
        <v>627798</v>
      </c>
      <c r="I62">
        <v>724805</v>
      </c>
      <c r="J62">
        <v>779985</v>
      </c>
      <c r="K62">
        <v>999393</v>
      </c>
    </row>
    <row r="63" spans="1:11" x14ac:dyDescent="0.3">
      <c r="A63" s="6" t="s">
        <v>28</v>
      </c>
      <c r="B63">
        <v>228697</v>
      </c>
      <c r="C63">
        <v>324837</v>
      </c>
      <c r="D63">
        <v>187022</v>
      </c>
      <c r="E63">
        <v>179463</v>
      </c>
      <c r="F63">
        <v>109106</v>
      </c>
      <c r="G63">
        <v>125953</v>
      </c>
      <c r="H63">
        <v>172506</v>
      </c>
      <c r="I63">
        <v>293752</v>
      </c>
      <c r="J63">
        <v>338855</v>
      </c>
      <c r="K63">
        <v>262358</v>
      </c>
    </row>
    <row r="64" spans="1:11" x14ac:dyDescent="0.3">
      <c r="A64" s="6" t="s">
        <v>29</v>
      </c>
      <c r="B64">
        <v>84015</v>
      </c>
      <c r="C64">
        <v>82899</v>
      </c>
      <c r="D64">
        <v>82862</v>
      </c>
      <c r="E64">
        <v>235635</v>
      </c>
      <c r="F64">
        <v>276767</v>
      </c>
      <c r="G64">
        <v>364828</v>
      </c>
      <c r="H64">
        <v>394264</v>
      </c>
      <c r="I64">
        <v>235560</v>
      </c>
      <c r="J64">
        <v>225672</v>
      </c>
      <c r="K64">
        <v>242381</v>
      </c>
    </row>
    <row r="65" spans="1:11" x14ac:dyDescent="0.3">
      <c r="A65" s="6" t="s">
        <v>73</v>
      </c>
      <c r="B65">
        <v>101375</v>
      </c>
      <c r="C65">
        <v>100540</v>
      </c>
      <c r="D65">
        <v>137504</v>
      </c>
      <c r="E65">
        <v>184158</v>
      </c>
      <c r="F65">
        <v>244484</v>
      </c>
      <c r="G65">
        <v>288026</v>
      </c>
      <c r="H65">
        <v>304054</v>
      </c>
      <c r="I65">
        <v>351765</v>
      </c>
      <c r="J65">
        <v>410536</v>
      </c>
      <c r="K65">
        <v>445581</v>
      </c>
    </row>
    <row r="66" spans="1:11" s="1" customFormat="1" x14ac:dyDescent="0.3">
      <c r="A66" s="1" t="s">
        <v>26</v>
      </c>
      <c r="B66">
        <v>598997</v>
      </c>
      <c r="C66">
        <v>706802</v>
      </c>
      <c r="D66">
        <v>811273</v>
      </c>
      <c r="E66">
        <v>997630</v>
      </c>
      <c r="F66">
        <v>1163015</v>
      </c>
      <c r="G66">
        <v>1320065</v>
      </c>
      <c r="H66">
        <v>1498622</v>
      </c>
      <c r="I66">
        <v>1605882</v>
      </c>
      <c r="J66">
        <v>1755048</v>
      </c>
      <c r="K66">
        <v>1949713</v>
      </c>
    </row>
    <row r="67" spans="1:11" s="6" customFormat="1" x14ac:dyDescent="0.3">
      <c r="A67" s="6" t="s">
        <v>78</v>
      </c>
      <c r="B67">
        <v>4465</v>
      </c>
      <c r="C67">
        <v>8177</v>
      </c>
      <c r="D67">
        <v>17555</v>
      </c>
      <c r="E67">
        <v>30089</v>
      </c>
      <c r="F67">
        <v>19656</v>
      </c>
      <c r="G67">
        <v>19014</v>
      </c>
      <c r="H67">
        <v>23640</v>
      </c>
      <c r="I67">
        <v>28448</v>
      </c>
      <c r="J67">
        <v>31628</v>
      </c>
      <c r="K67">
        <v>42121</v>
      </c>
    </row>
    <row r="68" spans="1:11" x14ac:dyDescent="0.3">
      <c r="A68" s="6" t="s">
        <v>45</v>
      </c>
      <c r="B68">
        <v>46486</v>
      </c>
      <c r="C68">
        <v>48951</v>
      </c>
      <c r="D68">
        <v>60837</v>
      </c>
      <c r="E68">
        <v>67561</v>
      </c>
      <c r="F68">
        <v>73903</v>
      </c>
      <c r="G68">
        <v>81672</v>
      </c>
      <c r="H68">
        <v>107778</v>
      </c>
      <c r="I68">
        <v>140008</v>
      </c>
      <c r="J68">
        <v>152770</v>
      </c>
      <c r="K68">
        <v>146062</v>
      </c>
    </row>
    <row r="69" spans="1:11" x14ac:dyDescent="0.3">
      <c r="A69" s="4" t="s">
        <v>87</v>
      </c>
      <c r="B69">
        <v>11028</v>
      </c>
      <c r="C69">
        <v>3023</v>
      </c>
      <c r="D69">
        <v>4255</v>
      </c>
      <c r="E69">
        <v>11081</v>
      </c>
      <c r="F69">
        <v>30920</v>
      </c>
      <c r="G69">
        <v>17397</v>
      </c>
      <c r="H69">
        <v>36178</v>
      </c>
      <c r="I69">
        <v>68664</v>
      </c>
      <c r="J69">
        <v>97225</v>
      </c>
      <c r="K69">
        <v>106502</v>
      </c>
    </row>
    <row r="70" spans="1:11" x14ac:dyDescent="0.3">
      <c r="A70" s="4" t="s">
        <v>74</v>
      </c>
      <c r="B70">
        <v>2948021694</v>
      </c>
      <c r="C70">
        <v>2958924277</v>
      </c>
      <c r="D70">
        <v>5921826196</v>
      </c>
      <c r="E70">
        <v>5925868997</v>
      </c>
      <c r="F70">
        <v>6338693823</v>
      </c>
      <c r="G70">
        <v>6762068814</v>
      </c>
      <c r="H70">
        <v>6765994014</v>
      </c>
      <c r="I70">
        <v>6766094014</v>
      </c>
      <c r="J70">
        <v>6766094014</v>
      </c>
      <c r="K70">
        <v>13532515463</v>
      </c>
    </row>
    <row r="71" spans="1:11" x14ac:dyDescent="0.3">
      <c r="A71" s="4" t="s">
        <v>75</v>
      </c>
      <c r="D71">
        <v>2959863235</v>
      </c>
      <c r="E71">
        <v>2959863235</v>
      </c>
      <c r="K71">
        <v>6766186449</v>
      </c>
    </row>
    <row r="72" spans="1:11" x14ac:dyDescent="0.3">
      <c r="A72" s="4" t="s">
        <v>88</v>
      </c>
      <c r="B72">
        <v>10</v>
      </c>
      <c r="C72">
        <v>10</v>
      </c>
      <c r="D72">
        <v>10</v>
      </c>
      <c r="E72">
        <v>10</v>
      </c>
      <c r="F72">
        <v>10</v>
      </c>
      <c r="G72">
        <v>10</v>
      </c>
      <c r="H72">
        <v>10</v>
      </c>
      <c r="I72">
        <v>10</v>
      </c>
      <c r="J72">
        <v>10</v>
      </c>
      <c r="K72">
        <v>10</v>
      </c>
    </row>
    <row r="74" spans="1:11" x14ac:dyDescent="0.3">
      <c r="A74" s="6"/>
    </row>
    <row r="75" spans="1:11" x14ac:dyDescent="0.3">
      <c r="A75" s="6"/>
    </row>
    <row r="76" spans="1:11" x14ac:dyDescent="0.3">
      <c r="A76" s="6"/>
    </row>
    <row r="77" spans="1:11" x14ac:dyDescent="0.3">
      <c r="A77" s="6"/>
    </row>
    <row r="78" spans="1:11" x14ac:dyDescent="0.3">
      <c r="A78" s="6"/>
    </row>
    <row r="79" spans="1:11" x14ac:dyDescent="0.3">
      <c r="A79" s="6"/>
    </row>
    <row r="80" spans="1:11" x14ac:dyDescent="0.3">
      <c r="A80" s="1" t="s">
        <v>41</v>
      </c>
    </row>
    <row r="81" spans="1:11" s="18" customFormat="1" x14ac:dyDescent="0.3">
      <c r="A81" s="17" t="s">
        <v>38</v>
      </c>
      <c r="B81" s="12">
        <v>42460</v>
      </c>
      <c r="C81" s="12">
        <v>42825</v>
      </c>
      <c r="D81" s="12">
        <v>43190</v>
      </c>
      <c r="E81" s="12">
        <v>43555</v>
      </c>
      <c r="F81" s="12">
        <v>43921</v>
      </c>
      <c r="G81" s="12">
        <v>44286</v>
      </c>
      <c r="H81" s="12">
        <v>44651</v>
      </c>
      <c r="I81" s="12">
        <v>45016</v>
      </c>
      <c r="J81" s="12">
        <v>45382</v>
      </c>
      <c r="K81" s="12">
        <v>45747</v>
      </c>
    </row>
    <row r="82" spans="1:11" s="1" customFormat="1" x14ac:dyDescent="0.3">
      <c r="A82" s="6" t="s">
        <v>32</v>
      </c>
      <c r="B82">
        <v>38134</v>
      </c>
      <c r="C82">
        <v>49550</v>
      </c>
      <c r="D82">
        <v>71459</v>
      </c>
      <c r="E82">
        <v>42346</v>
      </c>
      <c r="F82">
        <v>94877</v>
      </c>
      <c r="G82">
        <v>26958</v>
      </c>
      <c r="H82">
        <v>110654</v>
      </c>
      <c r="I82">
        <v>115032</v>
      </c>
      <c r="J82">
        <v>158788</v>
      </c>
      <c r="K82">
        <v>178703</v>
      </c>
    </row>
    <row r="83" spans="1:11" s="6" customFormat="1" x14ac:dyDescent="0.3">
      <c r="A83" s="6" t="s">
        <v>33</v>
      </c>
      <c r="B83">
        <v>-36186</v>
      </c>
      <c r="C83">
        <v>-66201</v>
      </c>
      <c r="D83">
        <v>-68192</v>
      </c>
      <c r="E83">
        <v>-94507</v>
      </c>
      <c r="F83">
        <v>-72497</v>
      </c>
      <c r="G83">
        <v>-142385</v>
      </c>
      <c r="H83">
        <v>-109162</v>
      </c>
      <c r="I83">
        <v>-93001</v>
      </c>
      <c r="J83">
        <v>-113581</v>
      </c>
      <c r="K83">
        <v>-137535</v>
      </c>
    </row>
    <row r="84" spans="1:11" s="6" customFormat="1" x14ac:dyDescent="0.3">
      <c r="A84" s="6" t="s">
        <v>34</v>
      </c>
      <c r="B84">
        <v>-3210</v>
      </c>
      <c r="C84">
        <v>8617</v>
      </c>
      <c r="D84">
        <v>-2001</v>
      </c>
      <c r="E84">
        <v>55906</v>
      </c>
      <c r="F84">
        <v>-2541</v>
      </c>
      <c r="G84">
        <v>101904</v>
      </c>
      <c r="H84">
        <v>17289</v>
      </c>
      <c r="I84">
        <v>10455</v>
      </c>
      <c r="J84">
        <v>-16646</v>
      </c>
      <c r="K84">
        <v>-31891</v>
      </c>
    </row>
    <row r="85" spans="1:11" s="1" customFormat="1" x14ac:dyDescent="0.3">
      <c r="A85" s="6" t="s">
        <v>35</v>
      </c>
      <c r="B85">
        <v>-1262</v>
      </c>
      <c r="C85">
        <v>-8034</v>
      </c>
      <c r="D85">
        <v>1266</v>
      </c>
      <c r="E85">
        <v>3745</v>
      </c>
      <c r="F85">
        <v>19839</v>
      </c>
      <c r="G85">
        <v>-13523</v>
      </c>
      <c r="H85">
        <v>18781</v>
      </c>
      <c r="I85">
        <v>32486</v>
      </c>
      <c r="J85">
        <v>28561</v>
      </c>
      <c r="K85">
        <v>9277</v>
      </c>
    </row>
    <row r="86" spans="1:11" x14ac:dyDescent="0.3">
      <c r="A86" s="6"/>
    </row>
    <row r="87" spans="1:11" x14ac:dyDescent="0.3">
      <c r="A87" s="6"/>
    </row>
    <row r="88" spans="1:11" x14ac:dyDescent="0.3">
      <c r="A88" s="6"/>
    </row>
    <row r="89" spans="1:11" x14ac:dyDescent="0.3">
      <c r="A89" s="6"/>
    </row>
    <row r="90" spans="1:11" s="1" customFormat="1" x14ac:dyDescent="0.3">
      <c r="A90" s="1" t="s">
        <v>77</v>
      </c>
      <c r="B90">
        <v>237.46</v>
      </c>
      <c r="C90">
        <v>300.08999999999997</v>
      </c>
      <c r="D90">
        <v>401.08</v>
      </c>
      <c r="E90">
        <v>619.42999999999995</v>
      </c>
      <c r="F90">
        <v>506.06</v>
      </c>
      <c r="G90">
        <v>918.78</v>
      </c>
      <c r="H90">
        <v>1208.51</v>
      </c>
      <c r="I90">
        <v>1069.21</v>
      </c>
      <c r="J90">
        <v>1485.85</v>
      </c>
      <c r="K90">
        <v>1275.0999999999999</v>
      </c>
    </row>
    <row r="92" spans="1:11" s="1" customFormat="1" x14ac:dyDescent="0.3">
      <c r="A92" s="1" t="s">
        <v>76</v>
      </c>
    </row>
    <row r="93" spans="1:11" x14ac:dyDescent="0.3">
      <c r="A93" s="4" t="s">
        <v>89</v>
      </c>
      <c r="B93" s="24">
        <v>1382.58</v>
      </c>
      <c r="C93" s="24">
        <v>1387.22</v>
      </c>
      <c r="D93" s="24">
        <v>1351.39</v>
      </c>
      <c r="E93" s="24">
        <v>1352.26</v>
      </c>
      <c r="F93" s="24">
        <v>1352.37</v>
      </c>
      <c r="G93" s="24">
        <v>1267.8900000000001</v>
      </c>
      <c r="H93" s="24">
        <v>1352.98</v>
      </c>
      <c r="I93" s="24">
        <v>1353.12</v>
      </c>
      <c r="J93" s="24">
        <v>1353.14</v>
      </c>
      <c r="K93" s="24">
        <v>1353.24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FINANCIAL</vt:lpstr>
      <vt:lpstr>HISTORICAL FC</vt:lpstr>
      <vt:lpstr>FORECASTING</vt:lpstr>
      <vt:lpstr>RATIO ANALYSIS</vt:lpstr>
      <vt:lpstr>CFS</vt:lpstr>
      <vt:lpstr>DATA</vt:lpstr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Prem Maurya</cp:lastModifiedBy>
  <cp:lastPrinted>2026-05-28T12:32:24Z</cp:lastPrinted>
  <dcterms:created xsi:type="dcterms:W3CDTF">2012-08-17T09:55:37Z</dcterms:created>
  <dcterms:modified xsi:type="dcterms:W3CDTF">2026-05-29T15:58:39Z</dcterms:modified>
</cp:coreProperties>
</file>